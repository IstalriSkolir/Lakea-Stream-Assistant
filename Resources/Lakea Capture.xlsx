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Visual Studio\Lakea-Stream-Assistant\Resources\"/>
    </mc:Choice>
  </mc:AlternateContent>
  <xr:revisionPtr revIDLastSave="0" documentId="13_ncr:1_{1AA90881-1701-48D5-B407-1ECDB8C9EE42}" xr6:coauthVersionLast="47" xr6:coauthVersionMax="47" xr10:uidLastSave="{00000000-0000-0000-0000-000000000000}"/>
  <bookViews>
    <workbookView xWindow="-120" yWindow="-120" windowWidth="29040" windowHeight="15840" xr2:uid="{00000000-000D-0000-FFFF-FFFF00000000}"/>
  </bookViews>
  <sheets>
    <sheet name="Lakeas Capture Modifier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O7" i="2"/>
  <c r="O8" i="2" s="1"/>
  <c r="E7" i="2"/>
  <c r="H7" i="2" s="1"/>
  <c r="O6" i="2"/>
  <c r="R6" i="2" s="1"/>
  <c r="J6" i="2"/>
  <c r="J7" i="2" s="1"/>
  <c r="L7" i="2" s="1"/>
  <c r="H6" i="2"/>
  <c r="G6" i="2"/>
  <c r="F6" i="2"/>
  <c r="E6" i="2"/>
  <c r="R5" i="2"/>
  <c r="P5" i="2"/>
  <c r="M5" i="2"/>
  <c r="K5" i="2"/>
  <c r="H5" i="2"/>
  <c r="F5" i="2"/>
  <c r="K7" i="2" l="1"/>
  <c r="O9" i="2"/>
  <c r="P8" i="2"/>
  <c r="Q8" i="2"/>
  <c r="J8" i="2"/>
  <c r="M7" i="2"/>
  <c r="K6" i="2"/>
  <c r="P7" i="2"/>
  <c r="M6" i="2"/>
  <c r="R7" i="2"/>
  <c r="G5" i="2"/>
  <c r="E8" i="2"/>
  <c r="P6" i="2"/>
  <c r="L6" i="2"/>
  <c r="Q6" i="2"/>
  <c r="G8" i="2"/>
  <c r="L5" i="2"/>
  <c r="Q7" i="2"/>
  <c r="F7" i="2"/>
  <c r="Q5" i="2"/>
  <c r="G7" i="2"/>
  <c r="L8" i="2"/>
  <c r="M8" i="2" l="1"/>
  <c r="K8" i="2"/>
  <c r="J9" i="2"/>
  <c r="R9" i="2"/>
  <c r="P9" i="2"/>
  <c r="O10" i="2"/>
  <c r="R8" i="2"/>
  <c r="H8" i="2"/>
  <c r="F8" i="2"/>
  <c r="E9" i="2"/>
  <c r="M9" i="2" l="1"/>
  <c r="K9" i="2"/>
  <c r="J10" i="2"/>
  <c r="Q9" i="2"/>
  <c r="L9" i="2"/>
  <c r="E10" i="2"/>
  <c r="H9" i="2"/>
  <c r="F9" i="2"/>
  <c r="G9" i="2"/>
  <c r="R10" i="2"/>
  <c r="P10" i="2"/>
  <c r="O11" i="2"/>
  <c r="Q10" i="2"/>
  <c r="O12" i="2" l="1"/>
  <c r="J11" i="2"/>
  <c r="M10" i="2"/>
  <c r="K10" i="2"/>
  <c r="L10" i="2"/>
  <c r="E11" i="2"/>
  <c r="H10" i="2"/>
  <c r="G10" i="2"/>
  <c r="F10" i="2"/>
  <c r="H11" i="2" l="1"/>
  <c r="F11" i="2"/>
  <c r="E12" i="2"/>
  <c r="G11" i="2"/>
  <c r="J12" i="2"/>
  <c r="M11" i="2"/>
  <c r="L11" i="2"/>
  <c r="K11" i="2"/>
  <c r="Q11" i="2"/>
  <c r="R11" i="2"/>
  <c r="P11" i="2"/>
  <c r="P12" i="2"/>
  <c r="R12" i="2"/>
  <c r="O13" i="2"/>
  <c r="Q12" i="2"/>
  <c r="M12" i="2" l="1"/>
  <c r="K12" i="2"/>
  <c r="J13" i="2"/>
  <c r="L12" i="2"/>
  <c r="R13" i="2"/>
  <c r="P13" i="2"/>
  <c r="O14" i="2"/>
  <c r="Q13" i="2"/>
  <c r="E13" i="2"/>
  <c r="H12" i="2"/>
  <c r="F12" i="2"/>
  <c r="G12" i="2"/>
  <c r="H13" i="2" l="1"/>
  <c r="E14" i="2"/>
  <c r="G13" i="2"/>
  <c r="F13" i="2"/>
  <c r="O15" i="2"/>
  <c r="J14" i="2"/>
  <c r="P14" i="2" s="1"/>
  <c r="M13" i="2"/>
  <c r="K13" i="2"/>
  <c r="L13" i="2"/>
  <c r="J15" i="2" l="1"/>
  <c r="M14" i="2"/>
  <c r="K14" i="2"/>
  <c r="L14" i="2"/>
  <c r="Q14" i="2"/>
  <c r="O16" i="2"/>
  <c r="R15" i="2"/>
  <c r="P15" i="2"/>
  <c r="Q15" i="2"/>
  <c r="H14" i="2"/>
  <c r="F14" i="2"/>
  <c r="E15" i="2"/>
  <c r="G14" i="2"/>
  <c r="R14" i="2"/>
  <c r="O17" i="2" l="1"/>
  <c r="E16" i="2"/>
  <c r="H15" i="2"/>
  <c r="F15" i="2"/>
  <c r="G15" i="2"/>
  <c r="K15" i="2"/>
  <c r="J16" i="2"/>
  <c r="M15" i="2"/>
  <c r="L15" i="2"/>
  <c r="M16" i="2" l="1"/>
  <c r="K16" i="2"/>
  <c r="J17" i="2"/>
  <c r="L16" i="2"/>
  <c r="H16" i="2"/>
  <c r="F16" i="2"/>
  <c r="E17" i="2"/>
  <c r="G16" i="2"/>
  <c r="Q16" i="2"/>
  <c r="R16" i="2"/>
  <c r="O18" i="2"/>
  <c r="R17" i="2"/>
  <c r="P17" i="2"/>
  <c r="Q17" i="2"/>
  <c r="P16" i="2"/>
  <c r="O19" i="2" l="1"/>
  <c r="E18" i="2"/>
  <c r="F17" i="2"/>
  <c r="H17" i="2"/>
  <c r="G17" i="2"/>
  <c r="J18" i="2"/>
  <c r="M17" i="2"/>
  <c r="K17" i="2"/>
  <c r="L17" i="2"/>
  <c r="J19" i="2" l="1"/>
  <c r="M18" i="2"/>
  <c r="K18" i="2"/>
  <c r="L18" i="2"/>
  <c r="H18" i="2"/>
  <c r="F18" i="2"/>
  <c r="E19" i="2"/>
  <c r="G18" i="2"/>
  <c r="P18" i="2"/>
  <c r="Q18" i="2"/>
  <c r="O20" i="2"/>
  <c r="R19" i="2"/>
  <c r="P19" i="2"/>
  <c r="Q19" i="2"/>
  <c r="R18" i="2"/>
  <c r="O21" i="2" l="1"/>
  <c r="E20" i="2"/>
  <c r="H19" i="2"/>
  <c r="F19" i="2"/>
  <c r="G19" i="2"/>
  <c r="M19" i="2"/>
  <c r="K19" i="2"/>
  <c r="J20" i="2"/>
  <c r="P20" i="2" s="1"/>
  <c r="L19" i="2"/>
  <c r="M20" i="2" l="1"/>
  <c r="K20" i="2"/>
  <c r="J21" i="2"/>
  <c r="L20" i="2"/>
  <c r="E21" i="2"/>
  <c r="H20" i="2"/>
  <c r="F20" i="2"/>
  <c r="G20" i="2"/>
  <c r="Q20" i="2"/>
  <c r="O22" i="2"/>
  <c r="R21" i="2"/>
  <c r="P21" i="2"/>
  <c r="Q21" i="2"/>
  <c r="R20" i="2"/>
  <c r="O23" i="2" l="1"/>
  <c r="E22" i="2"/>
  <c r="H21" i="2"/>
  <c r="G21" i="2"/>
  <c r="F21" i="2"/>
  <c r="J22" i="2"/>
  <c r="M21" i="2"/>
  <c r="K21" i="2"/>
  <c r="L21" i="2"/>
  <c r="J23" i="2" l="1"/>
  <c r="M22" i="2"/>
  <c r="K22" i="2"/>
  <c r="L22" i="2"/>
  <c r="H22" i="2"/>
  <c r="F22" i="2"/>
  <c r="E23" i="2"/>
  <c r="G22" i="2"/>
  <c r="Q22" i="2"/>
  <c r="R22" i="2"/>
  <c r="O24" i="2"/>
  <c r="R23" i="2"/>
  <c r="P23" i="2"/>
  <c r="Q23" i="2"/>
  <c r="P22" i="2"/>
  <c r="H23" i="2" l="1"/>
  <c r="E24" i="2"/>
  <c r="F23" i="2"/>
  <c r="G23" i="2"/>
  <c r="O25" i="2"/>
  <c r="M23" i="2"/>
  <c r="K23" i="2"/>
  <c r="J24" i="2"/>
  <c r="L23" i="2"/>
  <c r="M24" i="2" l="1"/>
  <c r="K24" i="2"/>
  <c r="J25" i="2"/>
  <c r="L24" i="2"/>
  <c r="O26" i="2"/>
  <c r="P25" i="2"/>
  <c r="R25" i="2"/>
  <c r="Q25" i="2"/>
  <c r="R24" i="2"/>
  <c r="Q24" i="2"/>
  <c r="P24" i="2"/>
  <c r="E25" i="2"/>
  <c r="H24" i="2"/>
  <c r="F24" i="2"/>
  <c r="G24" i="2"/>
  <c r="E26" i="2" l="1"/>
  <c r="F25" i="2"/>
  <c r="H25" i="2"/>
  <c r="G25" i="2"/>
  <c r="O27" i="2"/>
  <c r="J26" i="2"/>
  <c r="M25" i="2"/>
  <c r="K25" i="2"/>
  <c r="L25" i="2"/>
  <c r="J27" i="2" l="1"/>
  <c r="M26" i="2"/>
  <c r="K26" i="2"/>
  <c r="L26" i="2"/>
  <c r="P26" i="2"/>
  <c r="Q26" i="2"/>
  <c r="O28" i="2"/>
  <c r="R27" i="2"/>
  <c r="P27" i="2"/>
  <c r="Q27" i="2"/>
  <c r="R26" i="2"/>
  <c r="H26" i="2"/>
  <c r="F26" i="2"/>
  <c r="E27" i="2"/>
  <c r="G26" i="2"/>
  <c r="F27" i="2" l="1"/>
  <c r="H27" i="2"/>
  <c r="E28" i="2"/>
  <c r="G27" i="2"/>
  <c r="O29" i="2"/>
  <c r="M27" i="2"/>
  <c r="K27" i="2"/>
  <c r="J28" i="2"/>
  <c r="P28" i="2" s="1"/>
  <c r="L27" i="2"/>
  <c r="Q28" i="2" l="1"/>
  <c r="K28" i="2"/>
  <c r="J29" i="2"/>
  <c r="M28" i="2"/>
  <c r="L28" i="2"/>
  <c r="P29" i="2"/>
  <c r="O30" i="2"/>
  <c r="R29" i="2"/>
  <c r="Q29" i="2"/>
  <c r="R28" i="2"/>
  <c r="F28" i="2"/>
  <c r="E29" i="2"/>
  <c r="H28" i="2"/>
  <c r="G28" i="2"/>
  <c r="E30" i="2" l="1"/>
  <c r="H29" i="2"/>
  <c r="F29" i="2"/>
  <c r="G29" i="2"/>
  <c r="O31" i="2"/>
  <c r="K29" i="2"/>
  <c r="J30" i="2"/>
  <c r="Q30" i="2" s="1"/>
  <c r="M29" i="2"/>
  <c r="L29" i="2"/>
  <c r="R30" i="2" l="1"/>
  <c r="O32" i="2"/>
  <c r="J31" i="2"/>
  <c r="M30" i="2"/>
  <c r="K30" i="2"/>
  <c r="L30" i="2"/>
  <c r="P30" i="2"/>
  <c r="H30" i="2"/>
  <c r="F30" i="2"/>
  <c r="E31" i="2"/>
  <c r="G30" i="2"/>
  <c r="F31" i="2" l="1"/>
  <c r="E32" i="2"/>
  <c r="H31" i="2"/>
  <c r="G31" i="2"/>
  <c r="M31" i="2"/>
  <c r="K31" i="2"/>
  <c r="J32" i="2"/>
  <c r="L31" i="2"/>
  <c r="Q31" i="2"/>
  <c r="P31" i="2"/>
  <c r="R31" i="2"/>
  <c r="R32" i="2"/>
  <c r="P32" i="2"/>
  <c r="O33" i="2"/>
  <c r="Q32" i="2"/>
  <c r="O34" i="2" l="1"/>
  <c r="K32" i="2"/>
  <c r="M32" i="2"/>
  <c r="J33" i="2"/>
  <c r="L32" i="2"/>
  <c r="H32" i="2"/>
  <c r="E33" i="2"/>
  <c r="F32" i="2"/>
  <c r="G32" i="2"/>
  <c r="E34" i="2" l="1"/>
  <c r="F33" i="2"/>
  <c r="H33" i="2"/>
  <c r="G33" i="2"/>
  <c r="J34" i="2"/>
  <c r="M33" i="2"/>
  <c r="K33" i="2"/>
  <c r="L33" i="2"/>
  <c r="R33" i="2"/>
  <c r="Q33" i="2"/>
  <c r="P34" i="2"/>
  <c r="O35" i="2"/>
  <c r="R34" i="2"/>
  <c r="Q34" i="2"/>
  <c r="P33" i="2"/>
  <c r="O36" i="2" l="1"/>
  <c r="J35" i="2"/>
  <c r="K34" i="2"/>
  <c r="M34" i="2"/>
  <c r="L34" i="2"/>
  <c r="H34" i="2"/>
  <c r="F34" i="2"/>
  <c r="E35" i="2"/>
  <c r="G34" i="2"/>
  <c r="F35" i="2" l="1"/>
  <c r="H35" i="2"/>
  <c r="E36" i="2"/>
  <c r="G35" i="2"/>
  <c r="M35" i="2"/>
  <c r="K35" i="2"/>
  <c r="J36" i="2"/>
  <c r="L35" i="2"/>
  <c r="Q35" i="2"/>
  <c r="P35" i="2"/>
  <c r="R35" i="2"/>
  <c r="R36" i="2"/>
  <c r="P36" i="2"/>
  <c r="O37" i="2"/>
  <c r="Q36" i="2"/>
  <c r="O38" i="2" l="1"/>
  <c r="K36" i="2"/>
  <c r="M36" i="2"/>
  <c r="J37" i="2"/>
  <c r="L36" i="2"/>
  <c r="E37" i="2"/>
  <c r="H36" i="2"/>
  <c r="F36" i="2"/>
  <c r="G36" i="2"/>
  <c r="E38" i="2" l="1"/>
  <c r="H37" i="2"/>
  <c r="G37" i="2"/>
  <c r="F37" i="2"/>
  <c r="J38" i="2"/>
  <c r="M37" i="2"/>
  <c r="K37" i="2"/>
  <c r="L37" i="2"/>
  <c r="Q37" i="2"/>
  <c r="R37" i="2"/>
  <c r="R38" i="2"/>
  <c r="P38" i="2"/>
  <c r="O39" i="2"/>
  <c r="Q38" i="2"/>
  <c r="P37" i="2"/>
  <c r="O40" i="2" l="1"/>
  <c r="J39" i="2"/>
  <c r="M38" i="2"/>
  <c r="K38" i="2"/>
  <c r="L38" i="2"/>
  <c r="H38" i="2"/>
  <c r="F38" i="2"/>
  <c r="E39" i="2"/>
  <c r="G38" i="2"/>
  <c r="F39" i="2" l="1"/>
  <c r="E40" i="2"/>
  <c r="H39" i="2"/>
  <c r="G39" i="2"/>
  <c r="M39" i="2"/>
  <c r="K39" i="2"/>
  <c r="J40" i="2"/>
  <c r="L39" i="2"/>
  <c r="Q39" i="2"/>
  <c r="R39" i="2"/>
  <c r="P39" i="2"/>
  <c r="R40" i="2"/>
  <c r="P40" i="2"/>
  <c r="O41" i="2"/>
  <c r="Q40" i="2"/>
  <c r="O42" i="2" l="1"/>
  <c r="K40" i="2"/>
  <c r="J41" i="2"/>
  <c r="M40" i="2"/>
  <c r="L40" i="2"/>
  <c r="E41" i="2"/>
  <c r="H40" i="2"/>
  <c r="F40" i="2"/>
  <c r="G40" i="2"/>
  <c r="K41" i="2" l="1"/>
  <c r="J42" i="2"/>
  <c r="M41" i="2"/>
  <c r="L41" i="2"/>
  <c r="E42" i="2"/>
  <c r="H41" i="2"/>
  <c r="F41" i="2"/>
  <c r="G41" i="2"/>
  <c r="Q41" i="2"/>
  <c r="R41" i="2"/>
  <c r="O43" i="2"/>
  <c r="R42" i="2"/>
  <c r="P42" i="2"/>
  <c r="Q42" i="2"/>
  <c r="P41" i="2"/>
  <c r="O44" i="2" l="1"/>
  <c r="H42" i="2"/>
  <c r="F42" i="2"/>
  <c r="E43" i="2"/>
  <c r="G42" i="2"/>
  <c r="J43" i="2"/>
  <c r="M42" i="2"/>
  <c r="K42" i="2"/>
  <c r="L42" i="2"/>
  <c r="M43" i="2" l="1"/>
  <c r="K43" i="2"/>
  <c r="J44" i="2"/>
  <c r="L43" i="2"/>
  <c r="F43" i="2"/>
  <c r="H43" i="2"/>
  <c r="E44" i="2"/>
  <c r="G43" i="2"/>
  <c r="Q43" i="2"/>
  <c r="P43" i="2"/>
  <c r="R43" i="2"/>
  <c r="R44" i="2"/>
  <c r="P44" i="2"/>
  <c r="O45" i="2"/>
  <c r="Q44" i="2"/>
  <c r="O46" i="2" l="1"/>
  <c r="E45" i="2"/>
  <c r="H44" i="2"/>
  <c r="F44" i="2"/>
  <c r="G44" i="2"/>
  <c r="K44" i="2"/>
  <c r="J45" i="2"/>
  <c r="M44" i="2"/>
  <c r="L44" i="2"/>
  <c r="J46" i="2" l="1"/>
  <c r="R46" i="2" s="1"/>
  <c r="M45" i="2"/>
  <c r="K45" i="2"/>
  <c r="L45" i="2"/>
  <c r="O47" i="2"/>
  <c r="P46" i="2"/>
  <c r="Q46" i="2"/>
  <c r="E46" i="2"/>
  <c r="H45" i="2"/>
  <c r="F45" i="2"/>
  <c r="G45" i="2"/>
  <c r="Q45" i="2"/>
  <c r="R45" i="2"/>
  <c r="P45" i="2"/>
  <c r="H46" i="2" l="1"/>
  <c r="F46" i="2"/>
  <c r="E47" i="2"/>
  <c r="G46" i="2"/>
  <c r="O48" i="2"/>
  <c r="J47" i="2"/>
  <c r="K46" i="2"/>
  <c r="M46" i="2"/>
  <c r="L46" i="2"/>
  <c r="M47" i="2" l="1"/>
  <c r="K47" i="2"/>
  <c r="J48" i="2"/>
  <c r="L47" i="2"/>
  <c r="P47" i="2"/>
  <c r="R48" i="2"/>
  <c r="P48" i="2"/>
  <c r="O49" i="2"/>
  <c r="Q48" i="2"/>
  <c r="F47" i="2"/>
  <c r="E48" i="2"/>
  <c r="H47" i="2"/>
  <c r="G47" i="2"/>
  <c r="Q47" i="2"/>
  <c r="R47" i="2"/>
  <c r="K48" i="2" l="1"/>
  <c r="M48" i="2"/>
  <c r="J49" i="2"/>
  <c r="L48" i="2"/>
  <c r="H48" i="2"/>
  <c r="F48" i="2"/>
  <c r="E49" i="2"/>
  <c r="G48" i="2"/>
  <c r="P49" i="2"/>
  <c r="O50" i="2"/>
  <c r="R49" i="2"/>
  <c r="Q49" i="2"/>
  <c r="O51" i="2" l="1"/>
  <c r="E50" i="2"/>
  <c r="H49" i="2"/>
  <c r="F49" i="2"/>
  <c r="G49" i="2"/>
  <c r="K49" i="2"/>
  <c r="J50" i="2"/>
  <c r="M49" i="2"/>
  <c r="L49" i="2"/>
  <c r="J51" i="2" l="1"/>
  <c r="M50" i="2"/>
  <c r="K50" i="2"/>
  <c r="L50" i="2"/>
  <c r="H50" i="2"/>
  <c r="F50" i="2"/>
  <c r="E51" i="2"/>
  <c r="G50" i="2"/>
  <c r="O52" i="2"/>
  <c r="R51" i="2"/>
  <c r="P51" i="2"/>
  <c r="Q51" i="2"/>
  <c r="Q50" i="2"/>
  <c r="R50" i="2"/>
  <c r="P50" i="2"/>
  <c r="O53" i="2" l="1"/>
  <c r="F51" i="2"/>
  <c r="E52" i="2"/>
  <c r="H51" i="2"/>
  <c r="G51" i="2"/>
  <c r="M51" i="2"/>
  <c r="K51" i="2"/>
  <c r="J52" i="2"/>
  <c r="L51" i="2"/>
  <c r="E53" i="2" l="1"/>
  <c r="H52" i="2"/>
  <c r="F52" i="2"/>
  <c r="G52" i="2"/>
  <c r="K52" i="2"/>
  <c r="J53" i="2"/>
  <c r="M52" i="2"/>
  <c r="L52" i="2"/>
  <c r="Q52" i="2"/>
  <c r="P53" i="2"/>
  <c r="O54" i="2"/>
  <c r="R53" i="2"/>
  <c r="Q53" i="2"/>
  <c r="P52" i="2"/>
  <c r="R52" i="2"/>
  <c r="J54" i="2" l="1"/>
  <c r="M53" i="2"/>
  <c r="K53" i="2"/>
  <c r="L53" i="2"/>
  <c r="O55" i="2"/>
  <c r="R54" i="2"/>
  <c r="P54" i="2"/>
  <c r="Q54" i="2"/>
  <c r="E54" i="2"/>
  <c r="H53" i="2"/>
  <c r="F53" i="2"/>
  <c r="G53" i="2"/>
  <c r="H54" i="2" l="1"/>
  <c r="F54" i="2"/>
  <c r="E55" i="2"/>
  <c r="G54" i="2"/>
  <c r="O56" i="2"/>
  <c r="J55" i="2"/>
  <c r="R55" i="2" s="1"/>
  <c r="K54" i="2"/>
  <c r="M54" i="2"/>
  <c r="L54" i="2"/>
  <c r="Q55" i="2" l="1"/>
  <c r="O57" i="2"/>
  <c r="M55" i="2"/>
  <c r="K55" i="2"/>
  <c r="J56" i="2"/>
  <c r="L55" i="2"/>
  <c r="P55" i="2"/>
  <c r="F55" i="2"/>
  <c r="H55" i="2"/>
  <c r="E56" i="2"/>
  <c r="G55" i="2"/>
  <c r="F56" i="2" l="1"/>
  <c r="E57" i="2"/>
  <c r="H56" i="2"/>
  <c r="G56" i="2"/>
  <c r="K56" i="2"/>
  <c r="M56" i="2"/>
  <c r="J57" i="2"/>
  <c r="L56" i="2"/>
  <c r="Q56" i="2"/>
  <c r="P57" i="2"/>
  <c r="R57" i="2"/>
  <c r="O58" i="2"/>
  <c r="Q57" i="2"/>
  <c r="P56" i="2"/>
  <c r="R56" i="2"/>
  <c r="O59" i="2" l="1"/>
  <c r="Q58" i="2"/>
  <c r="J58" i="2"/>
  <c r="M57" i="2"/>
  <c r="K57" i="2"/>
  <c r="L57" i="2"/>
  <c r="E58" i="2"/>
  <c r="H57" i="2"/>
  <c r="F57" i="2"/>
  <c r="G57" i="2"/>
  <c r="H58" i="2" l="1"/>
  <c r="F58" i="2"/>
  <c r="E59" i="2"/>
  <c r="G58" i="2"/>
  <c r="J59" i="2"/>
  <c r="M58" i="2"/>
  <c r="L58" i="2"/>
  <c r="K58" i="2"/>
  <c r="P58" i="2"/>
  <c r="R58" i="2"/>
  <c r="O60" i="2"/>
  <c r="R59" i="2"/>
  <c r="P59" i="2"/>
  <c r="Q59" i="2"/>
  <c r="M59" i="2" l="1"/>
  <c r="K59" i="2"/>
  <c r="J60" i="2"/>
  <c r="L59" i="2"/>
  <c r="R60" i="2"/>
  <c r="P60" i="2"/>
  <c r="O61" i="2"/>
  <c r="Q60" i="2"/>
  <c r="F59" i="2"/>
  <c r="E60" i="2"/>
  <c r="H59" i="2"/>
  <c r="G59" i="2"/>
  <c r="H60" i="2" l="1"/>
  <c r="F60" i="2"/>
  <c r="E61" i="2"/>
  <c r="G60" i="2"/>
  <c r="O62" i="2"/>
  <c r="K60" i="2"/>
  <c r="J61" i="2"/>
  <c r="M60" i="2"/>
  <c r="L60" i="2"/>
  <c r="J62" i="2" l="1"/>
  <c r="M61" i="2"/>
  <c r="K61" i="2"/>
  <c r="L61" i="2"/>
  <c r="E62" i="2"/>
  <c r="F61" i="2"/>
  <c r="H61" i="2"/>
  <c r="G61" i="2"/>
  <c r="Q61" i="2"/>
  <c r="R61" i="2"/>
  <c r="P62" i="2"/>
  <c r="O63" i="2"/>
  <c r="R62" i="2"/>
  <c r="Q62" i="2"/>
  <c r="P61" i="2"/>
  <c r="O64" i="2" l="1"/>
  <c r="H62" i="2"/>
  <c r="F62" i="2"/>
  <c r="E63" i="2"/>
  <c r="G62" i="2"/>
  <c r="J63" i="2"/>
  <c r="M62" i="2"/>
  <c r="K62" i="2"/>
  <c r="L62" i="2"/>
  <c r="M63" i="2" l="1"/>
  <c r="K63" i="2"/>
  <c r="J64" i="2"/>
  <c r="L63" i="2"/>
  <c r="F63" i="2"/>
  <c r="H63" i="2"/>
  <c r="E64" i="2"/>
  <c r="G63" i="2"/>
  <c r="Q63" i="2"/>
  <c r="R63" i="2"/>
  <c r="P63" i="2"/>
  <c r="R64" i="2"/>
  <c r="P64" i="2"/>
  <c r="O65" i="2"/>
  <c r="Q64" i="2"/>
  <c r="O66" i="2" l="1"/>
  <c r="E65" i="2"/>
  <c r="H64" i="2"/>
  <c r="F64" i="2"/>
  <c r="G64" i="2"/>
  <c r="K64" i="2"/>
  <c r="M64" i="2"/>
  <c r="J65" i="2"/>
  <c r="L64" i="2"/>
  <c r="J66" i="2" l="1"/>
  <c r="M65" i="2"/>
  <c r="K65" i="2"/>
  <c r="L65" i="2"/>
  <c r="E66" i="2"/>
  <c r="H65" i="2"/>
  <c r="F65" i="2"/>
  <c r="G65" i="2"/>
  <c r="R65" i="2"/>
  <c r="Q65" i="2"/>
  <c r="O67" i="2"/>
  <c r="R66" i="2"/>
  <c r="P66" i="2"/>
  <c r="Q66" i="2"/>
  <c r="P65" i="2"/>
  <c r="H66" i="2" l="1"/>
  <c r="F66" i="2"/>
  <c r="E67" i="2"/>
  <c r="G66" i="2"/>
  <c r="O68" i="2"/>
  <c r="J67" i="2"/>
  <c r="M66" i="2"/>
  <c r="K66" i="2"/>
  <c r="L66" i="2"/>
  <c r="M67" i="2" l="1"/>
  <c r="K67" i="2"/>
  <c r="J68" i="2"/>
  <c r="L67" i="2"/>
  <c r="Q67" i="2"/>
  <c r="R67" i="2"/>
  <c r="P67" i="2"/>
  <c r="R68" i="2"/>
  <c r="P68" i="2"/>
  <c r="O69" i="2"/>
  <c r="Q68" i="2"/>
  <c r="F67" i="2"/>
  <c r="H67" i="2"/>
  <c r="E68" i="2"/>
  <c r="G67" i="2"/>
  <c r="H68" i="2" l="1"/>
  <c r="E69" i="2"/>
  <c r="F68" i="2"/>
  <c r="G68" i="2"/>
  <c r="O70" i="2"/>
  <c r="K68" i="2"/>
  <c r="J69" i="2"/>
  <c r="M68" i="2"/>
  <c r="L68" i="2"/>
  <c r="M69" i="2" l="1"/>
  <c r="K69" i="2"/>
  <c r="J70" i="2"/>
  <c r="L69" i="2"/>
  <c r="R69" i="2"/>
  <c r="P69" i="2"/>
  <c r="E70" i="2"/>
  <c r="H69" i="2"/>
  <c r="F69" i="2"/>
  <c r="G69" i="2"/>
  <c r="Q69" i="2"/>
  <c r="P70" i="2"/>
  <c r="O71" i="2"/>
  <c r="R70" i="2"/>
  <c r="Q70" i="2"/>
  <c r="O72" i="2" l="1"/>
  <c r="H70" i="2"/>
  <c r="F70" i="2"/>
  <c r="E71" i="2"/>
  <c r="G70" i="2"/>
  <c r="J71" i="2"/>
  <c r="K70" i="2"/>
  <c r="M70" i="2"/>
  <c r="L70" i="2"/>
  <c r="M71" i="2" l="1"/>
  <c r="K71" i="2"/>
  <c r="J72" i="2"/>
  <c r="L71" i="2"/>
  <c r="P71" i="2"/>
  <c r="R71" i="2"/>
  <c r="F71" i="2"/>
  <c r="E72" i="2"/>
  <c r="H71" i="2"/>
  <c r="G71" i="2"/>
  <c r="Q71" i="2"/>
  <c r="R72" i="2"/>
  <c r="P72" i="2"/>
  <c r="O73" i="2"/>
  <c r="Q72" i="2"/>
  <c r="F72" i="2" l="1"/>
  <c r="E73" i="2"/>
  <c r="H72" i="2"/>
  <c r="G72" i="2"/>
  <c r="K72" i="2"/>
  <c r="M72" i="2"/>
  <c r="J73" i="2"/>
  <c r="L72" i="2"/>
  <c r="P73" i="2"/>
  <c r="O74" i="2"/>
  <c r="R73" i="2"/>
  <c r="Q73" i="2"/>
  <c r="O75" i="2" l="1"/>
  <c r="J74" i="2"/>
  <c r="M73" i="2"/>
  <c r="K73" i="2"/>
  <c r="L73" i="2"/>
  <c r="E74" i="2"/>
  <c r="H73" i="2"/>
  <c r="F73" i="2"/>
  <c r="G73" i="2"/>
  <c r="H74" i="2" l="1"/>
  <c r="F74" i="2"/>
  <c r="E75" i="2"/>
  <c r="G74" i="2"/>
  <c r="J75" i="2"/>
  <c r="M74" i="2"/>
  <c r="K74" i="2"/>
  <c r="L74" i="2"/>
  <c r="R74" i="2"/>
  <c r="O76" i="2"/>
  <c r="R75" i="2"/>
  <c r="P75" i="2"/>
  <c r="Q75" i="2"/>
  <c r="Q74" i="2"/>
  <c r="P74" i="2"/>
  <c r="O77" i="2" l="1"/>
  <c r="M75" i="2"/>
  <c r="K75" i="2"/>
  <c r="J76" i="2"/>
  <c r="Q76" i="2" s="1"/>
  <c r="L75" i="2"/>
  <c r="F75" i="2"/>
  <c r="E76" i="2"/>
  <c r="H75" i="2"/>
  <c r="G75" i="2"/>
  <c r="E77" i="2" l="1"/>
  <c r="H76" i="2"/>
  <c r="F76" i="2"/>
  <c r="G76" i="2"/>
  <c r="K76" i="2"/>
  <c r="J77" i="2"/>
  <c r="M76" i="2"/>
  <c r="L76" i="2"/>
  <c r="P77" i="2"/>
  <c r="O78" i="2"/>
  <c r="R77" i="2"/>
  <c r="Q77" i="2"/>
  <c r="P76" i="2"/>
  <c r="R76" i="2"/>
  <c r="K77" i="2" l="1"/>
  <c r="J78" i="2"/>
  <c r="M77" i="2"/>
  <c r="L77" i="2"/>
  <c r="R78" i="2"/>
  <c r="O79" i="2"/>
  <c r="P78" i="2"/>
  <c r="Q78" i="2"/>
  <c r="E78" i="2"/>
  <c r="H77" i="2"/>
  <c r="F77" i="2"/>
  <c r="G77" i="2"/>
  <c r="H78" i="2" l="1"/>
  <c r="F78" i="2"/>
  <c r="E79" i="2"/>
  <c r="G78" i="2"/>
  <c r="O80" i="2"/>
  <c r="J79" i="2"/>
  <c r="P79" i="2" s="1"/>
  <c r="M78" i="2"/>
  <c r="K78" i="2"/>
  <c r="L78" i="2"/>
  <c r="M79" i="2" l="1"/>
  <c r="K79" i="2"/>
  <c r="J80" i="2"/>
  <c r="L79" i="2"/>
  <c r="R80" i="2"/>
  <c r="P80" i="2"/>
  <c r="O81" i="2"/>
  <c r="Q80" i="2"/>
  <c r="Q79" i="2"/>
  <c r="R79" i="2"/>
  <c r="H79" i="2"/>
  <c r="F79" i="2"/>
  <c r="E80" i="2"/>
  <c r="G79" i="2"/>
  <c r="O82" i="2" l="1"/>
  <c r="H80" i="2"/>
  <c r="E81" i="2"/>
  <c r="F80" i="2"/>
  <c r="G80" i="2"/>
  <c r="M80" i="2"/>
  <c r="K80" i="2"/>
  <c r="J81" i="2"/>
  <c r="L80" i="2"/>
  <c r="M81" i="2" l="1"/>
  <c r="J82" i="2"/>
  <c r="K81" i="2"/>
  <c r="L81" i="2"/>
  <c r="Q81" i="2"/>
  <c r="P81" i="2"/>
  <c r="E82" i="2"/>
  <c r="F81" i="2"/>
  <c r="H81" i="2"/>
  <c r="G81" i="2"/>
  <c r="R82" i="2"/>
  <c r="O83" i="2"/>
  <c r="P82" i="2"/>
  <c r="Q82" i="2"/>
  <c r="R81" i="2"/>
  <c r="O84" i="2" l="1"/>
  <c r="H82" i="2"/>
  <c r="F82" i="2"/>
  <c r="E83" i="2"/>
  <c r="G82" i="2"/>
  <c r="J83" i="2"/>
  <c r="K82" i="2"/>
  <c r="M82" i="2"/>
  <c r="L82" i="2"/>
  <c r="H83" i="2" l="1"/>
  <c r="F83" i="2"/>
  <c r="E84" i="2"/>
  <c r="G83" i="2"/>
  <c r="M83" i="2"/>
  <c r="K83" i="2"/>
  <c r="J84" i="2"/>
  <c r="L83" i="2"/>
  <c r="Q83" i="2"/>
  <c r="P83" i="2"/>
  <c r="R83" i="2"/>
  <c r="R84" i="2"/>
  <c r="P84" i="2"/>
  <c r="O85" i="2"/>
  <c r="Q84" i="2"/>
  <c r="M84" i="2" l="1"/>
  <c r="K84" i="2"/>
  <c r="J85" i="2"/>
  <c r="L84" i="2"/>
  <c r="R85" i="2"/>
  <c r="P85" i="2"/>
  <c r="O86" i="2"/>
  <c r="Q85" i="2"/>
  <c r="H84" i="2"/>
  <c r="F84" i="2"/>
  <c r="E85" i="2"/>
  <c r="G84" i="2"/>
  <c r="E86" i="2" l="1"/>
  <c r="F85" i="2"/>
  <c r="H85" i="2"/>
  <c r="G85" i="2"/>
  <c r="M85" i="2"/>
  <c r="K85" i="2"/>
  <c r="J86" i="2"/>
  <c r="L85" i="2"/>
  <c r="R86" i="2"/>
  <c r="P86" i="2"/>
  <c r="O87" i="2"/>
  <c r="Q86" i="2"/>
  <c r="O88" i="2" l="1"/>
  <c r="J87" i="2"/>
  <c r="M86" i="2"/>
  <c r="K86" i="2"/>
  <c r="L86" i="2"/>
  <c r="H86" i="2"/>
  <c r="F86" i="2"/>
  <c r="E87" i="2"/>
  <c r="G86" i="2"/>
  <c r="M87" i="2" l="1"/>
  <c r="K87" i="2"/>
  <c r="J88" i="2"/>
  <c r="L87" i="2"/>
  <c r="Q87" i="2"/>
  <c r="P87" i="2"/>
  <c r="R87" i="2"/>
  <c r="H87" i="2"/>
  <c r="F87" i="2"/>
  <c r="E88" i="2"/>
  <c r="G87" i="2"/>
  <c r="R88" i="2"/>
  <c r="P88" i="2"/>
  <c r="O89" i="2"/>
  <c r="Q88" i="2"/>
  <c r="O90" i="2" l="1"/>
  <c r="H88" i="2"/>
  <c r="F88" i="2"/>
  <c r="E89" i="2"/>
  <c r="G88" i="2"/>
  <c r="M88" i="2"/>
  <c r="K88" i="2"/>
  <c r="J89" i="2"/>
  <c r="L88" i="2"/>
  <c r="M89" i="2" l="1"/>
  <c r="K89" i="2"/>
  <c r="J90" i="2"/>
  <c r="L89" i="2"/>
  <c r="E90" i="2"/>
  <c r="F89" i="2"/>
  <c r="H89" i="2"/>
  <c r="G89" i="2"/>
  <c r="Q89" i="2"/>
  <c r="R90" i="2"/>
  <c r="P90" i="2"/>
  <c r="O91" i="2"/>
  <c r="Q90" i="2"/>
  <c r="P89" i="2"/>
  <c r="R89" i="2"/>
  <c r="J91" i="2" l="1"/>
  <c r="M90" i="2"/>
  <c r="K90" i="2"/>
  <c r="L90" i="2"/>
  <c r="O92" i="2"/>
  <c r="R91" i="2"/>
  <c r="P91" i="2"/>
  <c r="Q91" i="2"/>
  <c r="H90" i="2"/>
  <c r="F90" i="2"/>
  <c r="E91" i="2"/>
  <c r="G90" i="2"/>
  <c r="H91" i="2" l="1"/>
  <c r="F91" i="2"/>
  <c r="E92" i="2"/>
  <c r="G91" i="2"/>
  <c r="O93" i="2"/>
  <c r="M91" i="2"/>
  <c r="K91" i="2"/>
  <c r="J92" i="2"/>
  <c r="R92" i="2" s="1"/>
  <c r="L91" i="2"/>
  <c r="M92" i="2" l="1"/>
  <c r="K92" i="2"/>
  <c r="J93" i="2"/>
  <c r="L92" i="2"/>
  <c r="P92" i="2"/>
  <c r="H92" i="2"/>
  <c r="F92" i="2"/>
  <c r="E93" i="2"/>
  <c r="G92" i="2"/>
  <c r="Q92" i="2"/>
  <c r="R93" i="2"/>
  <c r="P93" i="2"/>
  <c r="O94" i="2"/>
  <c r="Q93" i="2"/>
  <c r="O95" i="2" l="1"/>
  <c r="E94" i="2"/>
  <c r="H93" i="2"/>
  <c r="G93" i="2"/>
  <c r="F93" i="2"/>
  <c r="M93" i="2"/>
  <c r="K93" i="2"/>
  <c r="J94" i="2"/>
  <c r="L93" i="2"/>
  <c r="J95" i="2" l="1"/>
  <c r="K94" i="2"/>
  <c r="M94" i="2"/>
  <c r="L94" i="2"/>
  <c r="H94" i="2"/>
  <c r="F94" i="2"/>
  <c r="E95" i="2"/>
  <c r="G94" i="2"/>
  <c r="P94" i="2"/>
  <c r="Q94" i="2"/>
  <c r="O96" i="2"/>
  <c r="R95" i="2"/>
  <c r="P95" i="2"/>
  <c r="Q95" i="2"/>
  <c r="R94" i="2"/>
  <c r="O97" i="2" l="1"/>
  <c r="H95" i="2"/>
  <c r="F95" i="2"/>
  <c r="E96" i="2"/>
  <c r="G95" i="2"/>
  <c r="M95" i="2"/>
  <c r="K95" i="2"/>
  <c r="J96" i="2"/>
  <c r="L95" i="2"/>
  <c r="M96" i="2" l="1"/>
  <c r="K96" i="2"/>
  <c r="J97" i="2"/>
  <c r="L96" i="2"/>
  <c r="Q96" i="2"/>
  <c r="P96" i="2"/>
  <c r="H96" i="2"/>
  <c r="F96" i="2"/>
  <c r="E97" i="2"/>
  <c r="G96" i="2"/>
  <c r="R97" i="2"/>
  <c r="P97" i="2"/>
  <c r="O98" i="2"/>
  <c r="Q97" i="2"/>
  <c r="R96" i="2"/>
  <c r="O99" i="2" l="1"/>
  <c r="E98" i="2"/>
  <c r="H97" i="2"/>
  <c r="F97" i="2"/>
  <c r="G97" i="2"/>
  <c r="M97" i="2"/>
  <c r="K97" i="2"/>
  <c r="J98" i="2"/>
  <c r="L97" i="2"/>
  <c r="J99" i="2" l="1"/>
  <c r="K98" i="2"/>
  <c r="M98" i="2"/>
  <c r="L98" i="2"/>
  <c r="H98" i="2"/>
  <c r="F98" i="2"/>
  <c r="E99" i="2"/>
  <c r="G98" i="2"/>
  <c r="Q98" i="2"/>
  <c r="O100" i="2"/>
  <c r="P99" i="2"/>
  <c r="R99" i="2"/>
  <c r="Q99" i="2"/>
  <c r="P98" i="2"/>
  <c r="R98" i="2"/>
  <c r="O101" i="2" l="1"/>
  <c r="H99" i="2"/>
  <c r="F99" i="2"/>
  <c r="E100" i="2"/>
  <c r="G99" i="2"/>
  <c r="M99" i="2"/>
  <c r="K99" i="2"/>
  <c r="J100" i="2"/>
  <c r="L99" i="2"/>
  <c r="M100" i="2" l="1"/>
  <c r="K100" i="2"/>
  <c r="J101" i="2"/>
  <c r="L100" i="2"/>
  <c r="H100" i="2"/>
  <c r="F100" i="2"/>
  <c r="E101" i="2"/>
  <c r="G100" i="2"/>
  <c r="Q100" i="2"/>
  <c r="P100" i="2"/>
  <c r="R101" i="2"/>
  <c r="P101" i="2"/>
  <c r="O102" i="2"/>
  <c r="Q101" i="2"/>
  <c r="R100" i="2"/>
  <c r="O103" i="2" l="1"/>
  <c r="E102" i="2"/>
  <c r="H101" i="2"/>
  <c r="F101" i="2"/>
  <c r="G101" i="2"/>
  <c r="M101" i="2"/>
  <c r="K101" i="2"/>
  <c r="J102" i="2"/>
  <c r="L101" i="2"/>
  <c r="J103" i="2" l="1"/>
  <c r="M102" i="2"/>
  <c r="K102" i="2"/>
  <c r="L102" i="2"/>
  <c r="P102" i="2"/>
  <c r="H102" i="2"/>
  <c r="F102" i="2"/>
  <c r="E103" i="2"/>
  <c r="G102" i="2"/>
  <c r="Q102" i="2"/>
  <c r="O104" i="2"/>
  <c r="R103" i="2"/>
  <c r="P103" i="2"/>
  <c r="Q103" i="2"/>
  <c r="R102" i="2"/>
  <c r="H103" i="2" l="1"/>
  <c r="F103" i="2"/>
  <c r="E104" i="2"/>
  <c r="G103" i="2"/>
  <c r="O105" i="2"/>
  <c r="M103" i="2"/>
  <c r="K103" i="2"/>
  <c r="J104" i="2"/>
  <c r="R104" i="2" s="1"/>
  <c r="L103" i="2"/>
  <c r="O106" i="2" l="1"/>
  <c r="H104" i="2"/>
  <c r="F104" i="2"/>
  <c r="E105" i="2"/>
  <c r="G104" i="2"/>
  <c r="M104" i="2"/>
  <c r="K104" i="2"/>
  <c r="J105" i="2"/>
  <c r="L104" i="2"/>
  <c r="Q104" i="2"/>
  <c r="P104" i="2"/>
  <c r="M105" i="2" l="1"/>
  <c r="K105" i="2"/>
  <c r="J106" i="2"/>
  <c r="L105" i="2"/>
  <c r="E106" i="2"/>
  <c r="F105" i="2"/>
  <c r="H105" i="2"/>
  <c r="G105" i="2"/>
  <c r="R106" i="2"/>
  <c r="P106" i="2"/>
  <c r="O107" i="2"/>
  <c r="Q106" i="2"/>
  <c r="Q105" i="2"/>
  <c r="P105" i="2"/>
  <c r="R105" i="2"/>
  <c r="H106" i="2" l="1"/>
  <c r="F106" i="2"/>
  <c r="E107" i="2"/>
  <c r="G106" i="2"/>
  <c r="J107" i="2"/>
  <c r="M106" i="2"/>
  <c r="K106" i="2"/>
  <c r="L106" i="2"/>
  <c r="O108" i="2"/>
  <c r="R107" i="2"/>
  <c r="P107" i="2"/>
  <c r="Q107" i="2"/>
  <c r="O109" i="2" l="1"/>
  <c r="M107" i="2"/>
  <c r="K107" i="2"/>
  <c r="J108" i="2"/>
  <c r="L107" i="2"/>
  <c r="H107" i="2"/>
  <c r="F107" i="2"/>
  <c r="E108" i="2"/>
  <c r="G107" i="2"/>
  <c r="H108" i="2" l="1"/>
  <c r="F108" i="2"/>
  <c r="E109" i="2"/>
  <c r="G108" i="2"/>
  <c r="M108" i="2"/>
  <c r="K108" i="2"/>
  <c r="J109" i="2"/>
  <c r="L108" i="2"/>
  <c r="Q108" i="2"/>
  <c r="R109" i="2"/>
  <c r="P109" i="2"/>
  <c r="O110" i="2"/>
  <c r="Q109" i="2"/>
  <c r="P108" i="2"/>
  <c r="R108" i="2"/>
  <c r="M109" i="2" l="1"/>
  <c r="K109" i="2"/>
  <c r="J110" i="2"/>
  <c r="L109" i="2"/>
  <c r="R110" i="2"/>
  <c r="P110" i="2"/>
  <c r="O111" i="2"/>
  <c r="Q110" i="2"/>
  <c r="E110" i="2"/>
  <c r="F109" i="2"/>
  <c r="H109" i="2"/>
  <c r="G109" i="2"/>
  <c r="H110" i="2" l="1"/>
  <c r="F110" i="2"/>
  <c r="E111" i="2"/>
  <c r="G110" i="2"/>
  <c r="O112" i="2"/>
  <c r="J111" i="2"/>
  <c r="K110" i="2"/>
  <c r="M110" i="2"/>
  <c r="L110" i="2"/>
  <c r="M111" i="2" l="1"/>
  <c r="K111" i="2"/>
  <c r="J112" i="2"/>
  <c r="L111" i="2"/>
  <c r="R111" i="2"/>
  <c r="Q111" i="2"/>
  <c r="P111" i="2"/>
  <c r="R112" i="2"/>
  <c r="P112" i="2"/>
  <c r="O113" i="2"/>
  <c r="Q112" i="2"/>
  <c r="H111" i="2"/>
  <c r="F111" i="2"/>
  <c r="E112" i="2"/>
  <c r="G111" i="2"/>
  <c r="H112" i="2" l="1"/>
  <c r="F112" i="2"/>
  <c r="E113" i="2"/>
  <c r="G112" i="2"/>
  <c r="O114" i="2"/>
  <c r="M112" i="2"/>
  <c r="K112" i="2"/>
  <c r="J113" i="2"/>
  <c r="R113" i="2" s="1"/>
  <c r="L112" i="2"/>
  <c r="P113" i="2" l="1"/>
  <c r="E114" i="2"/>
  <c r="H113" i="2"/>
  <c r="F113" i="2"/>
  <c r="G113" i="2"/>
  <c r="M113" i="2"/>
  <c r="K113" i="2"/>
  <c r="J114" i="2"/>
  <c r="L113" i="2"/>
  <c r="Q113" i="2"/>
  <c r="R114" i="2"/>
  <c r="P114" i="2"/>
  <c r="O115" i="2"/>
  <c r="Q114" i="2"/>
  <c r="O116" i="2" l="1"/>
  <c r="J115" i="2"/>
  <c r="K114" i="2"/>
  <c r="M114" i="2"/>
  <c r="L114" i="2"/>
  <c r="H114" i="2"/>
  <c r="F114" i="2"/>
  <c r="E115" i="2"/>
  <c r="G114" i="2"/>
  <c r="M115" i="2" l="1"/>
  <c r="K115" i="2"/>
  <c r="J116" i="2"/>
  <c r="L115" i="2"/>
  <c r="H115" i="2"/>
  <c r="F115" i="2"/>
  <c r="E116" i="2"/>
  <c r="G115" i="2"/>
  <c r="Q115" i="2"/>
  <c r="R115" i="2"/>
  <c r="P115" i="2"/>
  <c r="R116" i="2"/>
  <c r="P116" i="2"/>
  <c r="O117" i="2"/>
  <c r="Q116" i="2"/>
  <c r="O118" i="2" l="1"/>
  <c r="M116" i="2"/>
  <c r="K116" i="2"/>
  <c r="J117" i="2"/>
  <c r="L116" i="2"/>
  <c r="H116" i="2"/>
  <c r="F116" i="2"/>
  <c r="E117" i="2"/>
  <c r="G116" i="2"/>
  <c r="E118" i="2" l="1"/>
  <c r="H117" i="2"/>
  <c r="F117" i="2"/>
  <c r="G117" i="2"/>
  <c r="M117" i="2"/>
  <c r="K117" i="2"/>
  <c r="J118" i="2"/>
  <c r="L117" i="2"/>
  <c r="Q117" i="2"/>
  <c r="R118" i="2"/>
  <c r="P118" i="2"/>
  <c r="O119" i="2"/>
  <c r="Q118" i="2"/>
  <c r="P117" i="2"/>
  <c r="R117" i="2"/>
  <c r="J119" i="2" l="1"/>
  <c r="M118" i="2"/>
  <c r="K118" i="2"/>
  <c r="L118" i="2"/>
  <c r="O120" i="2"/>
  <c r="P119" i="2"/>
  <c r="R119" i="2"/>
  <c r="Q119" i="2"/>
  <c r="H118" i="2"/>
  <c r="F118" i="2"/>
  <c r="E119" i="2"/>
  <c r="G118" i="2"/>
  <c r="H119" i="2" l="1"/>
  <c r="F119" i="2"/>
  <c r="E120" i="2"/>
  <c r="G119" i="2"/>
  <c r="O121" i="2"/>
  <c r="M119" i="2"/>
  <c r="K119" i="2"/>
  <c r="J120" i="2"/>
  <c r="L119" i="2"/>
  <c r="M120" i="2" l="1"/>
  <c r="K120" i="2"/>
  <c r="J121" i="2"/>
  <c r="L120" i="2"/>
  <c r="P120" i="2"/>
  <c r="R121" i="2"/>
  <c r="P121" i="2"/>
  <c r="O122" i="2"/>
  <c r="Q121" i="2"/>
  <c r="R120" i="2"/>
  <c r="H120" i="2"/>
  <c r="F120" i="2"/>
  <c r="E121" i="2"/>
  <c r="G120" i="2"/>
  <c r="Q120" i="2"/>
  <c r="E122" i="2" l="1"/>
  <c r="F121" i="2"/>
  <c r="H121" i="2"/>
  <c r="G121" i="2"/>
  <c r="O123" i="2"/>
  <c r="M121" i="2"/>
  <c r="K121" i="2"/>
  <c r="J122" i="2"/>
  <c r="L121" i="2"/>
  <c r="J123" i="2" l="1"/>
  <c r="M122" i="2"/>
  <c r="K122" i="2"/>
  <c r="L122" i="2"/>
  <c r="O124" i="2"/>
  <c r="R123" i="2"/>
  <c r="P123" i="2"/>
  <c r="Q123" i="2"/>
  <c r="P122" i="2"/>
  <c r="Q122" i="2"/>
  <c r="R122" i="2"/>
  <c r="H122" i="2"/>
  <c r="F122" i="2"/>
  <c r="E123" i="2"/>
  <c r="G122" i="2"/>
  <c r="H123" i="2" l="1"/>
  <c r="F123" i="2"/>
  <c r="E124" i="2"/>
  <c r="G123" i="2"/>
  <c r="M123" i="2"/>
  <c r="K123" i="2"/>
  <c r="J124" i="2"/>
  <c r="L123" i="2"/>
  <c r="M124" i="2" l="1"/>
  <c r="K124" i="2"/>
  <c r="L124" i="2"/>
  <c r="Q124" i="2"/>
  <c r="P124" i="2"/>
  <c r="R124" i="2"/>
  <c r="H124" i="2"/>
  <c r="F124" i="2"/>
  <c r="G124" i="2"/>
</calcChain>
</file>

<file path=xl/sharedStrings.xml><?xml version="1.0" encoding="utf-8"?>
<sst xmlns="http://schemas.openxmlformats.org/spreadsheetml/2006/main" count="36" uniqueCount="27">
  <si>
    <t>Capture Modifiers</t>
  </si>
  <si>
    <t>Lakea Dexterity</t>
  </si>
  <si>
    <t>Value</t>
  </si>
  <si>
    <t>Minimum Roll</t>
  </si>
  <si>
    <t>Maximum Roll</t>
  </si>
  <si>
    <t>Formula</t>
  </si>
  <si>
    <t>When caught, an escape DC is generated by calculating Lakea's Dex modifier (her dex divided by 3) and multiplying it by the difficulty modifier. Every minute after, Lakea makes more progress towards escaping which is calculated using her dex modifier, the dex modifier of the character that caught her and the other capture modifiers. Once her progress reaching the Escape DC, Lakea break free</t>
  </si>
  <si>
    <t>Action</t>
  </si>
  <si>
    <t>Create Escape DC</t>
  </si>
  <si>
    <t>Dexterity Modifier</t>
  </si>
  <si>
    <t>Dexterity / 3</t>
  </si>
  <si>
    <t>Struggle Increment Per Round</t>
  </si>
  <si>
    <t>(Base Progress - (Character Dex Mod / Lakea Dex Mod)) * Random(Min Roll, Max Roll)</t>
  </si>
  <si>
    <t>Player Dexterity</t>
  </si>
  <si>
    <t>Progress Base</t>
  </si>
  <si>
    <t>Addtionals</t>
  </si>
  <si>
    <t>Values</t>
  </si>
  <si>
    <t>Maximum Player Dexterity</t>
  </si>
  <si>
    <t>Minimum Player Dexterity</t>
  </si>
  <si>
    <t>Minutes</t>
  </si>
  <si>
    <t>Min Rolls</t>
  </si>
  <si>
    <t>Average Roll</t>
  </si>
  <si>
    <t>Max Roll</t>
  </si>
  <si>
    <t>Defined Player Dexterity</t>
  </si>
  <si>
    <t>Average Rolls</t>
  </si>
  <si>
    <t>Max Rolls</t>
  </si>
  <si>
    <t>Minimum Progress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</si>
</sst>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applyAlignment="1">
      <alignment horizontal="left" wrapText="1"/>
    </xf>
    <xf numFmtId="164" fontId="0" fillId="0" borderId="0" xfId="0" applyNumberFormat="1"/>
    <xf numFmtId="0" fontId="0" fillId="0" borderId="0" xfId="0" applyAlignment="1">
      <alignment horizontal="left" wrapText="1"/>
    </xf>
    <xf numFmtId="0" fontId="0" fillId="0" borderId="0" xfId="0" applyAlignment="1">
      <alignment horizontal="center"/>
    </xf>
  </cellXfs>
  <cellStyles count="1">
    <cellStyle name="Normal" xfId="0" builtinId="0"/>
  </cellStyles>
  <dxfs count="7">
    <dxf>
      <fill>
        <patternFill patternType="solid">
          <bgColor rgb="FFFF8585"/>
        </patternFill>
      </fill>
    </dxf>
    <dxf>
      <fill>
        <patternFill patternType="solid">
          <bgColor rgb="FFBEE395"/>
        </patternFill>
      </fill>
    </dxf>
    <dxf>
      <fill>
        <patternFill patternType="solid">
          <bgColor rgb="FFBEE395"/>
        </patternFill>
      </fill>
    </dxf>
    <dxf>
      <fill>
        <patternFill patternType="solid">
          <bgColor rgb="FFFF8585"/>
        </patternFill>
      </fill>
    </dxf>
    <dxf>
      <fill>
        <patternFill patternType="solid">
          <bgColor rgb="FFBEE395"/>
        </patternFill>
      </fill>
    </dxf>
    <dxf>
      <fill>
        <patternFill patternType="solid">
          <bgColor rgb="FFFF8585"/>
        </patternFill>
      </fill>
    </dxf>
    <dxf>
      <alignment horizontal="center" vertical="bottom" textRotation="0" wrapText="0" indent="0" justifyLastLine="0" shrinkToFit="0" readingOrder="0"/>
    </dxf>
  </dxfs>
  <tableStyles count="0" defaultTableStyle="TableStyleMedium2" defaultPivotStyle="PivotStyleLight16"/>
  <colors>
    <mruColors>
      <color rgb="FFBEE395"/>
      <color rgb="FFFF8585"/>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C1C9D6-B85E-4062-B77B-E64F0766CDD3}" name="Table42" displayName="Table42" ref="B4:C7" totalsRowShown="0">
  <autoFilter ref="B4:C7" xr:uid="{E7B2CA2E-F14D-49EB-90AE-155183CED54E}"/>
  <tableColumns count="2">
    <tableColumn id="1" xr3:uid="{574DA024-287C-4E14-A29F-1478FCE948F9}" name="Action"/>
    <tableColumn id="2" xr3:uid="{042611DF-0F10-4E93-AB95-F5A92C0BC6D8}" name="Formula"/>
  </tableColumns>
  <tableStyleInfo name="TableStyleMedium2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60ADB7-E500-4F80-BF43-D1354443ACBC}" name="Table1463" displayName="Table1463" ref="B9:C15" totalsRowShown="0" headerRowDxfId="6">
  <autoFilter ref="B9:C15" xr:uid="{D407645F-C36B-40BB-84A0-1989CD2F880F}"/>
  <tableColumns count="2">
    <tableColumn id="1" xr3:uid="{B9B38DB4-FCD4-4B9A-8112-59EC3F3A41FB}" name="Capture Modifiers"/>
    <tableColumn id="2" xr3:uid="{91986685-9B4A-4D4F-8292-E3464CFA2490}" name="Value"/>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2E7F-2669-45BC-B40E-3E152E8526A5}">
  <dimension ref="B2:R344"/>
  <sheetViews>
    <sheetView tabSelected="1" workbookViewId="0">
      <selection activeCell="C20" sqref="C20"/>
    </sheetView>
  </sheetViews>
  <sheetFormatPr defaultRowHeight="15" x14ac:dyDescent="0.25"/>
  <cols>
    <col min="1" max="1" width="6.85546875" customWidth="1"/>
    <col min="2" max="2" width="27.42578125" customWidth="1"/>
    <col min="3" max="3" width="41.7109375" customWidth="1"/>
    <col min="4" max="6" width="11" customWidth="1"/>
    <col min="7" max="7" width="13" customWidth="1"/>
    <col min="8" max="10" width="11" customWidth="1"/>
    <col min="12" max="12" width="13" customWidth="1"/>
    <col min="17" max="17" width="13.42578125" customWidth="1"/>
  </cols>
  <sheetData>
    <row r="2" spans="2:18" ht="50.25" customHeight="1" x14ac:dyDescent="0.25">
      <c r="B2" s="4" t="s">
        <v>6</v>
      </c>
      <c r="C2" s="4"/>
      <c r="D2" s="4"/>
      <c r="E2" s="4"/>
      <c r="F2" s="4"/>
      <c r="G2" s="4"/>
      <c r="H2" s="4"/>
      <c r="I2" s="4"/>
      <c r="J2" s="4"/>
      <c r="K2" s="4"/>
      <c r="L2" s="4"/>
      <c r="M2" s="4"/>
    </row>
    <row r="3" spans="2:18" x14ac:dyDescent="0.25">
      <c r="E3" s="5" t="s">
        <v>23</v>
      </c>
      <c r="F3" s="5"/>
      <c r="G3" s="5"/>
      <c r="H3" s="5"/>
      <c r="J3" s="5" t="s">
        <v>18</v>
      </c>
      <c r="K3" s="5"/>
      <c r="L3" s="5"/>
      <c r="M3" s="5"/>
      <c r="O3" s="5" t="s">
        <v>17</v>
      </c>
      <c r="P3" s="5"/>
      <c r="Q3" s="5"/>
      <c r="R3" s="5"/>
    </row>
    <row r="4" spans="2:18" x14ac:dyDescent="0.25">
      <c r="B4" t="s">
        <v>7</v>
      </c>
      <c r="C4" t="s">
        <v>5</v>
      </c>
      <c r="E4" t="s">
        <v>19</v>
      </c>
      <c r="F4" t="s">
        <v>20</v>
      </c>
      <c r="G4" t="s">
        <v>24</v>
      </c>
      <c r="H4" t="s">
        <v>22</v>
      </c>
      <c r="J4" t="s">
        <v>19</v>
      </c>
      <c r="K4" t="s">
        <v>20</v>
      </c>
      <c r="L4" t="s">
        <v>24</v>
      </c>
      <c r="M4" t="s">
        <v>25</v>
      </c>
      <c r="O4" t="s">
        <v>19</v>
      </c>
      <c r="P4" t="s">
        <v>20</v>
      </c>
      <c r="Q4" t="s">
        <v>24</v>
      </c>
      <c r="R4" t="s">
        <v>25</v>
      </c>
    </row>
    <row r="5" spans="2:18" x14ac:dyDescent="0.25">
      <c r="B5" t="s">
        <v>9</v>
      </c>
      <c r="C5" s="2" t="s">
        <v>10</v>
      </c>
      <c r="E5">
        <v>1</v>
      </c>
      <c r="F5" s="3">
        <f>IF(SUM((($C$12-(($C$11/3)/($C$10/3)))*$C$13)*E5)&gt;SUM($C$20*E5),SUM((($C$12-(($C$11/3)/($C$10/3)))*$C$13)*E5),SUM($C$20*E5))</f>
        <v>3.7209302325581417</v>
      </c>
      <c r="G5" s="3">
        <f>IF(SUM((($C$12-(($C$11/3)/($C$10/3)))*$C$15)*E5)&gt;SUM($C$20*E5),SUM((($C$12-(($C$11/3)/($C$10/3)))*$C$15)*E5),SUM($C$20*E5))</f>
        <v>4.6511627906976774</v>
      </c>
      <c r="H5" s="3">
        <f>IF(SUM((($C$12-(($C$11/3)/($C$10/3)))*$C$14)*E5)&gt;SUM($C$20*E5),SUM((($C$12-(($C$11/3)/($C$10/3)))*$C$14)*E5),SUM($C$20*E5))</f>
        <v>5.5813953488372121</v>
      </c>
      <c r="J5">
        <v>1</v>
      </c>
      <c r="K5" s="3">
        <f>IF(SUM((($C$12-(($C$18/3)/($C$10/3)))*$C$13)*J5)&gt;SUM($C$20*J5),SUM((($C$12-(($C$18/3)/($C$10/3)))*$C$13)*J5),SUM($C$20*J5))</f>
        <v>17.906976744186046</v>
      </c>
      <c r="L5" s="3">
        <f>IF(SUM((($C$12-(($C$18/3)/($C$10/3)))*$C$15)*J5)&gt;SUM($C$20*J5),SUM((($C$12-(($C$18/3)/($C$10/3)))*$C$15)*J5),SUM($C$20*J5))</f>
        <v>22.38372093023256</v>
      </c>
      <c r="M5" s="3">
        <f>IF(SUM((($C$12-(($C$18/3)/($C$10/3)))*$C$14)*J5)&gt;SUM($C$20*J5),SUM((($C$12-(($C$18/3)/($C$10/3)))*$C$14)*J5),SUM($C$20*J5))</f>
        <v>26.86046511627907</v>
      </c>
      <c r="O5">
        <v>1</v>
      </c>
      <c r="P5" s="3">
        <f>IF(SUM((($C$12-(($C$19/3)/($C$10/3)))*$C$13)*O5)&gt;SUM($C$20*J5),SUM((($C$12-(($C$19/3)/($C$10/3)))*$C$13)*O5),SUM($C$20*J5))</f>
        <v>3.35</v>
      </c>
      <c r="Q5" s="3">
        <f>IF(SUM((($C$12-(($C$19/3)/($C$10/3)))*$C$15)*O5)&gt;SUM($C$20*J5),SUM((($C$12-(($C$19/3)/($C$10/3)))*$C$15)*O5),SUM($C$20*J5))</f>
        <v>3.35</v>
      </c>
      <c r="R5" s="3">
        <f>IF(SUM((($C$12-(($C$19/3)/($C$10/3)))*$C$14)*O5)&gt;SUM($C$20*J5),SUM((($C$12-(($C$19/3)/($C$10/3)))*$C$14)*O5),SUM($C$20*J5))</f>
        <v>3.8372093023255816</v>
      </c>
    </row>
    <row r="6" spans="2:18" x14ac:dyDescent="0.25">
      <c r="B6" t="s">
        <v>8</v>
      </c>
      <c r="C6" s="2">
        <v>100</v>
      </c>
      <c r="E6">
        <f>E5 + 1</f>
        <v>2</v>
      </c>
      <c r="F6" s="3">
        <f t="shared" ref="F6:F69" si="0">IF(SUM((($C$12-(($C$11/3)/($C$10/3)))*$C$13)*E6)&gt;SUM($C$20*E6),SUM((($C$12-(($C$11/3)/($C$10/3)))*$C$13)*E6),SUM($C$20*E6))</f>
        <v>7.4418604651162834</v>
      </c>
      <c r="G6" s="3">
        <f t="shared" ref="G6:G69" si="1">IF(SUM((($C$12-(($C$11/3)/($C$10/3)))*$C$15)*E6)&gt;SUM($C$20*E6),SUM((($C$12-(($C$11/3)/($C$10/3)))*$C$15)*E6),SUM($C$20*E6))</f>
        <v>9.3023255813953547</v>
      </c>
      <c r="H6" s="3">
        <f t="shared" ref="H6:H69" si="2">IF(SUM((($C$12-(($C$11/3)/($C$10/3)))*$C$14)*E6)&gt;SUM($C$20*E6),SUM((($C$12-(($C$11/3)/($C$10/3)))*$C$14)*E6),SUM($C$20*E6))</f>
        <v>11.162790697674424</v>
      </c>
      <c r="J6">
        <f>J5 + 1</f>
        <v>2</v>
      </c>
      <c r="K6" s="3">
        <f t="shared" ref="K6:K69" si="3">IF(SUM((($C$12-(($C$18/3)/($C$10/3)))*$C$13)*J6)&gt;SUM($C$20*J6),SUM((($C$12-(($C$18/3)/($C$10/3)))*$C$13)*J6),SUM($C$20*J6))</f>
        <v>35.813953488372093</v>
      </c>
      <c r="L6" s="3">
        <f t="shared" ref="L6:L69" si="4">IF(SUM((($C$12-(($C$18/3)/($C$10/3)))*$C$15)*J6)&gt;SUM($C$20*J6),SUM((($C$12-(($C$18/3)/($C$10/3)))*$C$15)*J6),SUM($C$20*J6))</f>
        <v>44.767441860465119</v>
      </c>
      <c r="M6" s="3">
        <f t="shared" ref="M6:M69" si="5">IF(SUM((($C$12-(($C$18/3)/($C$10/3)))*$C$14)*J6)&gt;SUM($C$20*J6),SUM((($C$12-(($C$18/3)/($C$10/3)))*$C$14)*J6),SUM($C$20*J6))</f>
        <v>53.720930232558139</v>
      </c>
      <c r="O6">
        <f>O5 + 1</f>
        <v>2</v>
      </c>
      <c r="P6" s="3">
        <f t="shared" ref="P6:P69" si="6">IF(SUM((($C$12-(($C$19/3)/($C$10/3)))*$C$13)*O6)&gt;SUM($C$20*J6),SUM((($C$12-(($C$19/3)/($C$10/3)))*$C$13)*O6),SUM($C$20*J6))</f>
        <v>6.7</v>
      </c>
      <c r="Q6" s="3">
        <f t="shared" ref="Q6:Q69" si="7">IF(SUM((($C$12-(($C$19/3)/($C$10/3)))*$C$15)*O6)&gt;SUM($C$20*J6),SUM((($C$12-(($C$19/3)/($C$10/3)))*$C$15)*O6),SUM($C$20*J6))</f>
        <v>6.7</v>
      </c>
      <c r="R6" s="3">
        <f t="shared" ref="R6:R69" si="8">IF(SUM((($C$12-(($C$19/3)/($C$10/3)))*$C$14)*O6)&gt;SUM($C$20*J6),SUM((($C$12-(($C$19/3)/($C$10/3)))*$C$14)*O6),SUM($C$20*J6))</f>
        <v>7.6744186046511631</v>
      </c>
    </row>
    <row r="7" spans="2:18" ht="30" x14ac:dyDescent="0.25">
      <c r="B7" t="s">
        <v>11</v>
      </c>
      <c r="C7" s="2" t="s">
        <v>12</v>
      </c>
      <c r="E7">
        <f t="shared" ref="E7:E70" si="9">E6 + 1</f>
        <v>3</v>
      </c>
      <c r="F7" s="3">
        <f t="shared" si="0"/>
        <v>11.162790697674424</v>
      </c>
      <c r="G7" s="3">
        <f t="shared" si="1"/>
        <v>13.953488372093032</v>
      </c>
      <c r="H7" s="3">
        <f t="shared" si="2"/>
        <v>16.744186046511636</v>
      </c>
      <c r="J7">
        <f t="shared" ref="J7:J70" si="10">J6 + 1</f>
        <v>3</v>
      </c>
      <c r="K7" s="3">
        <f t="shared" si="3"/>
        <v>53.720930232558139</v>
      </c>
      <c r="L7" s="3">
        <f t="shared" si="4"/>
        <v>67.151162790697683</v>
      </c>
      <c r="M7" s="3">
        <f t="shared" si="5"/>
        <v>80.581395348837205</v>
      </c>
      <c r="O7">
        <f t="shared" ref="O7:O70" si="11">O6 + 1</f>
        <v>3</v>
      </c>
      <c r="P7" s="3">
        <f t="shared" si="6"/>
        <v>10.050000000000001</v>
      </c>
      <c r="Q7" s="3">
        <f t="shared" si="7"/>
        <v>10.050000000000001</v>
      </c>
      <c r="R7" s="3">
        <f t="shared" si="8"/>
        <v>11.511627906976745</v>
      </c>
    </row>
    <row r="8" spans="2:18" x14ac:dyDescent="0.25">
      <c r="E8">
        <f t="shared" si="9"/>
        <v>4</v>
      </c>
      <c r="F8" s="3">
        <f t="shared" si="0"/>
        <v>14.883720930232567</v>
      </c>
      <c r="G8" s="3">
        <f t="shared" si="1"/>
        <v>18.604651162790709</v>
      </c>
      <c r="H8" s="3">
        <f t="shared" si="2"/>
        <v>22.325581395348848</v>
      </c>
      <c r="J8">
        <f t="shared" si="10"/>
        <v>4</v>
      </c>
      <c r="K8" s="3">
        <f t="shared" si="3"/>
        <v>71.627906976744185</v>
      </c>
      <c r="L8" s="3">
        <f t="shared" si="4"/>
        <v>89.534883720930239</v>
      </c>
      <c r="M8" s="3">
        <f t="shared" si="5"/>
        <v>107.44186046511628</v>
      </c>
      <c r="O8">
        <f t="shared" si="11"/>
        <v>4</v>
      </c>
      <c r="P8" s="3">
        <f t="shared" si="6"/>
        <v>13.4</v>
      </c>
      <c r="Q8" s="3">
        <f t="shared" si="7"/>
        <v>13.4</v>
      </c>
      <c r="R8" s="3">
        <f t="shared" si="8"/>
        <v>15.348837209302326</v>
      </c>
    </row>
    <row r="9" spans="2:18" x14ac:dyDescent="0.25">
      <c r="B9" s="1" t="s">
        <v>0</v>
      </c>
      <c r="C9" s="1" t="s">
        <v>2</v>
      </c>
      <c r="E9">
        <f t="shared" si="9"/>
        <v>5</v>
      </c>
      <c r="F9" s="3">
        <f t="shared" si="0"/>
        <v>18.604651162790709</v>
      </c>
      <c r="G9" s="3">
        <f t="shared" si="1"/>
        <v>23.255813953488385</v>
      </c>
      <c r="H9" s="3">
        <f t="shared" si="2"/>
        <v>27.906976744186061</v>
      </c>
      <c r="J9">
        <f t="shared" si="10"/>
        <v>5</v>
      </c>
      <c r="K9" s="3">
        <f t="shared" si="3"/>
        <v>89.534883720930225</v>
      </c>
      <c r="L9" s="3">
        <f t="shared" si="4"/>
        <v>111.91860465116279</v>
      </c>
      <c r="M9" s="3">
        <f t="shared" si="5"/>
        <v>134.30232558139534</v>
      </c>
      <c r="O9">
        <f t="shared" si="11"/>
        <v>5</v>
      </c>
      <c r="P9" s="3">
        <f t="shared" si="6"/>
        <v>16.75</v>
      </c>
      <c r="Q9" s="3">
        <f t="shared" si="7"/>
        <v>16.75</v>
      </c>
      <c r="R9" s="3">
        <f t="shared" si="8"/>
        <v>19.186046511627907</v>
      </c>
    </row>
    <row r="10" spans="2:18" x14ac:dyDescent="0.25">
      <c r="B10" t="s">
        <v>1</v>
      </c>
      <c r="C10">
        <v>86</v>
      </c>
      <c r="E10">
        <f t="shared" si="9"/>
        <v>6</v>
      </c>
      <c r="F10" s="3">
        <f t="shared" si="0"/>
        <v>22.325581395348848</v>
      </c>
      <c r="G10" s="3">
        <f t="shared" si="1"/>
        <v>27.906976744186064</v>
      </c>
      <c r="H10" s="3">
        <f t="shared" si="2"/>
        <v>33.488372093023273</v>
      </c>
      <c r="J10">
        <f t="shared" si="10"/>
        <v>6</v>
      </c>
      <c r="K10" s="3">
        <f t="shared" si="3"/>
        <v>107.44186046511628</v>
      </c>
      <c r="L10" s="3">
        <f t="shared" si="4"/>
        <v>134.30232558139537</v>
      </c>
      <c r="M10" s="3">
        <f t="shared" si="5"/>
        <v>161.16279069767441</v>
      </c>
      <c r="O10">
        <f t="shared" si="11"/>
        <v>6</v>
      </c>
      <c r="P10" s="3">
        <f t="shared" si="6"/>
        <v>20.100000000000001</v>
      </c>
      <c r="Q10" s="3">
        <f t="shared" si="7"/>
        <v>20.100000000000001</v>
      </c>
      <c r="R10" s="3">
        <f t="shared" si="8"/>
        <v>23.02325581395349</v>
      </c>
    </row>
    <row r="11" spans="2:18" x14ac:dyDescent="0.25">
      <c r="B11" t="s">
        <v>13</v>
      </c>
      <c r="C11">
        <v>70</v>
      </c>
      <c r="E11">
        <f t="shared" si="9"/>
        <v>7</v>
      </c>
      <c r="F11" s="3">
        <f t="shared" si="0"/>
        <v>26.046511627906991</v>
      </c>
      <c r="G11" s="3">
        <f t="shared" si="1"/>
        <v>32.558139534883743</v>
      </c>
      <c r="H11" s="3">
        <f t="shared" si="2"/>
        <v>39.069767441860485</v>
      </c>
      <c r="J11">
        <f t="shared" si="10"/>
        <v>7</v>
      </c>
      <c r="K11" s="3">
        <f t="shared" si="3"/>
        <v>125.34883720930233</v>
      </c>
      <c r="L11" s="3">
        <f t="shared" si="4"/>
        <v>156.68604651162792</v>
      </c>
      <c r="M11" s="3">
        <f t="shared" si="5"/>
        <v>188.02325581395348</v>
      </c>
      <c r="O11">
        <f t="shared" si="11"/>
        <v>7</v>
      </c>
      <c r="P11" s="3">
        <f t="shared" si="6"/>
        <v>23.45</v>
      </c>
      <c r="Q11" s="3">
        <f t="shared" si="7"/>
        <v>23.45</v>
      </c>
      <c r="R11" s="3">
        <f t="shared" si="8"/>
        <v>26.86046511627907</v>
      </c>
    </row>
    <row r="12" spans="2:18" x14ac:dyDescent="0.25">
      <c r="B12" t="s">
        <v>14</v>
      </c>
      <c r="C12">
        <v>1</v>
      </c>
      <c r="E12">
        <f t="shared" si="9"/>
        <v>8</v>
      </c>
      <c r="F12" s="3">
        <f t="shared" si="0"/>
        <v>29.767441860465134</v>
      </c>
      <c r="G12" s="3">
        <f t="shared" si="1"/>
        <v>37.209302325581419</v>
      </c>
      <c r="H12" s="3">
        <f t="shared" si="2"/>
        <v>44.651162790697697</v>
      </c>
      <c r="J12">
        <f t="shared" si="10"/>
        <v>8</v>
      </c>
      <c r="K12" s="3">
        <f t="shared" si="3"/>
        <v>143.25581395348837</v>
      </c>
      <c r="L12" s="3">
        <f t="shared" si="4"/>
        <v>179.06976744186048</v>
      </c>
      <c r="M12" s="3">
        <f t="shared" si="5"/>
        <v>214.88372093023256</v>
      </c>
      <c r="O12">
        <f t="shared" si="11"/>
        <v>8</v>
      </c>
      <c r="P12" s="3">
        <f t="shared" si="6"/>
        <v>26.8</v>
      </c>
      <c r="Q12" s="3">
        <f t="shared" si="7"/>
        <v>26.8</v>
      </c>
      <c r="R12" s="3">
        <f t="shared" si="8"/>
        <v>30.697674418604652</v>
      </c>
    </row>
    <row r="13" spans="2:18" x14ac:dyDescent="0.25">
      <c r="B13" t="s">
        <v>3</v>
      </c>
      <c r="C13">
        <v>20</v>
      </c>
      <c r="E13">
        <f t="shared" si="9"/>
        <v>9</v>
      </c>
      <c r="F13" s="3">
        <f t="shared" si="0"/>
        <v>33.488372093023273</v>
      </c>
      <c r="G13" s="3">
        <f t="shared" si="1"/>
        <v>41.860465116279094</v>
      </c>
      <c r="H13" s="3">
        <f t="shared" si="2"/>
        <v>50.232558139534909</v>
      </c>
      <c r="J13">
        <f t="shared" si="10"/>
        <v>9</v>
      </c>
      <c r="K13" s="3">
        <f t="shared" si="3"/>
        <v>161.16279069767441</v>
      </c>
      <c r="L13" s="3">
        <f t="shared" si="4"/>
        <v>201.45348837209303</v>
      </c>
      <c r="M13" s="3">
        <f t="shared" si="5"/>
        <v>241.74418604651163</v>
      </c>
      <c r="O13">
        <f t="shared" si="11"/>
        <v>9</v>
      </c>
      <c r="P13" s="3">
        <f t="shared" si="6"/>
        <v>30.150000000000002</v>
      </c>
      <c r="Q13" s="3">
        <f t="shared" si="7"/>
        <v>30.150000000000002</v>
      </c>
      <c r="R13" s="3">
        <f t="shared" si="8"/>
        <v>34.534883720930232</v>
      </c>
    </row>
    <row r="14" spans="2:18" x14ac:dyDescent="0.25">
      <c r="B14" t="s">
        <v>4</v>
      </c>
      <c r="C14">
        <v>30</v>
      </c>
      <c r="E14">
        <f t="shared" si="9"/>
        <v>10</v>
      </c>
      <c r="F14" s="3">
        <f t="shared" si="0"/>
        <v>37.209302325581419</v>
      </c>
      <c r="G14" s="3">
        <f t="shared" si="1"/>
        <v>46.51162790697677</v>
      </c>
      <c r="H14" s="3">
        <f t="shared" si="2"/>
        <v>55.813953488372121</v>
      </c>
      <c r="J14">
        <f t="shared" si="10"/>
        <v>10</v>
      </c>
      <c r="K14" s="3">
        <f t="shared" si="3"/>
        <v>179.06976744186045</v>
      </c>
      <c r="L14" s="3">
        <f t="shared" si="4"/>
        <v>223.83720930232559</v>
      </c>
      <c r="M14" s="3">
        <f t="shared" si="5"/>
        <v>268.60465116279067</v>
      </c>
      <c r="O14">
        <f t="shared" si="11"/>
        <v>10</v>
      </c>
      <c r="P14" s="3">
        <f t="shared" si="6"/>
        <v>33.5</v>
      </c>
      <c r="Q14" s="3">
        <f t="shared" si="7"/>
        <v>33.5</v>
      </c>
      <c r="R14" s="3">
        <f t="shared" si="8"/>
        <v>38.372093023255815</v>
      </c>
    </row>
    <row r="15" spans="2:18" x14ac:dyDescent="0.25">
      <c r="B15" t="s">
        <v>21</v>
      </c>
      <c r="C15">
        <f>SUM((C13+C14) /2)</f>
        <v>25</v>
      </c>
      <c r="E15">
        <f t="shared" si="9"/>
        <v>11</v>
      </c>
      <c r="F15" s="3">
        <f t="shared" si="0"/>
        <v>40.930232558139558</v>
      </c>
      <c r="G15" s="3">
        <f t="shared" si="1"/>
        <v>51.162790697674453</v>
      </c>
      <c r="H15" s="3">
        <f t="shared" si="2"/>
        <v>61.395348837209333</v>
      </c>
      <c r="J15">
        <f t="shared" si="10"/>
        <v>11</v>
      </c>
      <c r="K15" s="3">
        <f t="shared" si="3"/>
        <v>196.97674418604652</v>
      </c>
      <c r="L15" s="3">
        <f t="shared" si="4"/>
        <v>246.22093023255815</v>
      </c>
      <c r="M15" s="3">
        <f t="shared" si="5"/>
        <v>295.46511627906978</v>
      </c>
      <c r="O15">
        <f t="shared" si="11"/>
        <v>11</v>
      </c>
      <c r="P15" s="3">
        <f t="shared" si="6"/>
        <v>36.85</v>
      </c>
      <c r="Q15" s="3">
        <f t="shared" si="7"/>
        <v>36.85</v>
      </c>
      <c r="R15" s="3">
        <f t="shared" si="8"/>
        <v>42.209302325581397</v>
      </c>
    </row>
    <row r="16" spans="2:18" x14ac:dyDescent="0.25">
      <c r="E16">
        <f t="shared" si="9"/>
        <v>12</v>
      </c>
      <c r="F16" s="3">
        <f t="shared" si="0"/>
        <v>44.651162790697697</v>
      </c>
      <c r="G16" s="3">
        <f t="shared" si="1"/>
        <v>55.813953488372128</v>
      </c>
      <c r="H16" s="3">
        <f t="shared" si="2"/>
        <v>66.976744186046545</v>
      </c>
      <c r="J16">
        <f t="shared" si="10"/>
        <v>12</v>
      </c>
      <c r="K16" s="3">
        <f t="shared" si="3"/>
        <v>214.88372093023256</v>
      </c>
      <c r="L16" s="3">
        <f t="shared" si="4"/>
        <v>268.60465116279073</v>
      </c>
      <c r="M16" s="3">
        <f t="shared" si="5"/>
        <v>322.32558139534882</v>
      </c>
      <c r="O16">
        <f t="shared" si="11"/>
        <v>12</v>
      </c>
      <c r="P16" s="3">
        <f t="shared" si="6"/>
        <v>40.200000000000003</v>
      </c>
      <c r="Q16" s="3">
        <f t="shared" si="7"/>
        <v>40.200000000000003</v>
      </c>
      <c r="R16" s="3">
        <f t="shared" si="8"/>
        <v>46.04651162790698</v>
      </c>
    </row>
    <row r="17" spans="2:18" x14ac:dyDescent="0.25">
      <c r="B17" t="s">
        <v>15</v>
      </c>
      <c r="C17" t="s">
        <v>16</v>
      </c>
      <c r="E17">
        <f t="shared" si="9"/>
        <v>13</v>
      </c>
      <c r="F17" s="3">
        <f t="shared" si="0"/>
        <v>48.372093023255843</v>
      </c>
      <c r="G17" s="3">
        <f t="shared" si="1"/>
        <v>60.465116279069804</v>
      </c>
      <c r="H17" s="3">
        <f t="shared" si="2"/>
        <v>72.558139534883765</v>
      </c>
      <c r="J17">
        <f t="shared" si="10"/>
        <v>13</v>
      </c>
      <c r="K17" s="3">
        <f t="shared" si="3"/>
        <v>232.7906976744186</v>
      </c>
      <c r="L17" s="3">
        <f t="shared" si="4"/>
        <v>290.98837209302326</v>
      </c>
      <c r="M17" s="3">
        <f t="shared" si="5"/>
        <v>349.18604651162792</v>
      </c>
      <c r="O17">
        <f t="shared" si="11"/>
        <v>13</v>
      </c>
      <c r="P17" s="3">
        <f t="shared" si="6"/>
        <v>43.550000000000004</v>
      </c>
      <c r="Q17" s="3">
        <f t="shared" si="7"/>
        <v>43.550000000000004</v>
      </c>
      <c r="R17" s="3">
        <f t="shared" si="8"/>
        <v>49.883720930232563</v>
      </c>
    </row>
    <row r="18" spans="2:18" x14ac:dyDescent="0.25">
      <c r="B18" t="s">
        <v>18</v>
      </c>
      <c r="C18">
        <v>9</v>
      </c>
      <c r="E18">
        <f t="shared" si="9"/>
        <v>14</v>
      </c>
      <c r="F18" s="3">
        <f t="shared" si="0"/>
        <v>52.093023255813982</v>
      </c>
      <c r="G18" s="3">
        <f t="shared" si="1"/>
        <v>65.116279069767486</v>
      </c>
      <c r="H18" s="3">
        <f t="shared" si="2"/>
        <v>78.13953488372097</v>
      </c>
      <c r="J18">
        <f t="shared" si="10"/>
        <v>14</v>
      </c>
      <c r="K18" s="3">
        <f t="shared" si="3"/>
        <v>250.69767441860466</v>
      </c>
      <c r="L18" s="3">
        <f t="shared" si="4"/>
        <v>313.37209302325584</v>
      </c>
      <c r="M18" s="3">
        <f t="shared" si="5"/>
        <v>376.04651162790697</v>
      </c>
      <c r="O18">
        <f t="shared" si="11"/>
        <v>14</v>
      </c>
      <c r="P18" s="3">
        <f t="shared" si="6"/>
        <v>46.9</v>
      </c>
      <c r="Q18" s="3">
        <f t="shared" si="7"/>
        <v>46.9</v>
      </c>
      <c r="R18" s="3">
        <f t="shared" si="8"/>
        <v>53.720930232558139</v>
      </c>
    </row>
    <row r="19" spans="2:18" x14ac:dyDescent="0.25">
      <c r="B19" t="s">
        <v>17</v>
      </c>
      <c r="C19">
        <v>75</v>
      </c>
      <c r="E19">
        <f t="shared" si="9"/>
        <v>15</v>
      </c>
      <c r="F19" s="3">
        <f t="shared" si="0"/>
        <v>55.813953488372128</v>
      </c>
      <c r="G19" s="3">
        <f t="shared" si="1"/>
        <v>69.767441860465155</v>
      </c>
      <c r="H19" s="3">
        <f t="shared" si="2"/>
        <v>83.720930232558175</v>
      </c>
      <c r="J19">
        <f t="shared" si="10"/>
        <v>15</v>
      </c>
      <c r="K19" s="3">
        <f t="shared" si="3"/>
        <v>268.60465116279067</v>
      </c>
      <c r="L19" s="3">
        <f t="shared" si="4"/>
        <v>335.75581395348837</v>
      </c>
      <c r="M19" s="3">
        <f t="shared" si="5"/>
        <v>402.90697674418607</v>
      </c>
      <c r="O19">
        <f t="shared" si="11"/>
        <v>15</v>
      </c>
      <c r="P19" s="3">
        <f t="shared" si="6"/>
        <v>50.25</v>
      </c>
      <c r="Q19" s="3">
        <f t="shared" si="7"/>
        <v>50.25</v>
      </c>
      <c r="R19" s="3">
        <f t="shared" si="8"/>
        <v>57.558139534883722</v>
      </c>
    </row>
    <row r="20" spans="2:18" x14ac:dyDescent="0.25">
      <c r="B20" t="s">
        <v>26</v>
      </c>
      <c r="C20">
        <v>3.35</v>
      </c>
      <c r="E20">
        <f t="shared" si="9"/>
        <v>16</v>
      </c>
      <c r="F20" s="3">
        <f t="shared" si="0"/>
        <v>59.534883720930267</v>
      </c>
      <c r="G20" s="3">
        <f t="shared" si="1"/>
        <v>74.418604651162838</v>
      </c>
      <c r="H20" s="3">
        <f t="shared" si="2"/>
        <v>89.302325581395394</v>
      </c>
      <c r="J20">
        <f t="shared" si="10"/>
        <v>16</v>
      </c>
      <c r="K20" s="3">
        <f t="shared" si="3"/>
        <v>286.51162790697674</v>
      </c>
      <c r="L20" s="3">
        <f t="shared" si="4"/>
        <v>358.13953488372096</v>
      </c>
      <c r="M20" s="3">
        <f t="shared" si="5"/>
        <v>429.76744186046511</v>
      </c>
      <c r="O20">
        <f t="shared" si="11"/>
        <v>16</v>
      </c>
      <c r="P20" s="3">
        <f t="shared" si="6"/>
        <v>53.6</v>
      </c>
      <c r="Q20" s="3">
        <f t="shared" si="7"/>
        <v>53.6</v>
      </c>
      <c r="R20" s="3">
        <f t="shared" si="8"/>
        <v>61.395348837209305</v>
      </c>
    </row>
    <row r="21" spans="2:18" x14ac:dyDescent="0.25">
      <c r="E21">
        <f t="shared" si="9"/>
        <v>17</v>
      </c>
      <c r="F21" s="3">
        <f t="shared" si="0"/>
        <v>63.255813953488406</v>
      </c>
      <c r="G21" s="3">
        <f t="shared" si="1"/>
        <v>79.06976744186052</v>
      </c>
      <c r="H21" s="3">
        <f t="shared" si="2"/>
        <v>94.883720930232613</v>
      </c>
      <c r="J21">
        <f t="shared" si="10"/>
        <v>17</v>
      </c>
      <c r="K21" s="3">
        <f t="shared" si="3"/>
        <v>304.41860465116281</v>
      </c>
      <c r="L21" s="3">
        <f t="shared" si="4"/>
        <v>380.52325581395354</v>
      </c>
      <c r="M21" s="3">
        <f t="shared" si="5"/>
        <v>456.62790697674416</v>
      </c>
      <c r="O21">
        <f t="shared" si="11"/>
        <v>17</v>
      </c>
      <c r="P21" s="3">
        <f t="shared" si="6"/>
        <v>56.95</v>
      </c>
      <c r="Q21" s="3">
        <f t="shared" si="7"/>
        <v>56.95</v>
      </c>
      <c r="R21" s="3">
        <f t="shared" si="8"/>
        <v>65.232558139534888</v>
      </c>
    </row>
    <row r="22" spans="2:18" x14ac:dyDescent="0.25">
      <c r="E22">
        <f t="shared" si="9"/>
        <v>18</v>
      </c>
      <c r="F22" s="3">
        <f t="shared" si="0"/>
        <v>66.976744186046545</v>
      </c>
      <c r="G22" s="3">
        <f t="shared" si="1"/>
        <v>83.720930232558189</v>
      </c>
      <c r="H22" s="3">
        <f t="shared" si="2"/>
        <v>100.46511627906982</v>
      </c>
      <c r="J22">
        <f t="shared" si="10"/>
        <v>18</v>
      </c>
      <c r="K22" s="3">
        <f t="shared" si="3"/>
        <v>322.32558139534882</v>
      </c>
      <c r="L22" s="3">
        <f t="shared" si="4"/>
        <v>402.90697674418607</v>
      </c>
      <c r="M22" s="3">
        <f t="shared" si="5"/>
        <v>483.48837209302326</v>
      </c>
      <c r="O22">
        <f t="shared" si="11"/>
        <v>18</v>
      </c>
      <c r="P22" s="3">
        <f t="shared" si="6"/>
        <v>60.300000000000004</v>
      </c>
      <c r="Q22" s="3">
        <f t="shared" si="7"/>
        <v>60.300000000000004</v>
      </c>
      <c r="R22" s="3">
        <f t="shared" si="8"/>
        <v>69.069767441860463</v>
      </c>
    </row>
    <row r="23" spans="2:18" x14ac:dyDescent="0.25">
      <c r="E23">
        <f t="shared" si="9"/>
        <v>19</v>
      </c>
      <c r="F23" s="3">
        <f t="shared" si="0"/>
        <v>70.697674418604691</v>
      </c>
      <c r="G23" s="3">
        <f t="shared" si="1"/>
        <v>88.372093023255871</v>
      </c>
      <c r="H23" s="3">
        <f t="shared" si="2"/>
        <v>106.04651162790702</v>
      </c>
      <c r="J23">
        <f t="shared" si="10"/>
        <v>19</v>
      </c>
      <c r="K23" s="3">
        <f t="shared" si="3"/>
        <v>340.23255813953489</v>
      </c>
      <c r="L23" s="3">
        <f t="shared" si="4"/>
        <v>425.29069767441865</v>
      </c>
      <c r="M23" s="3">
        <f t="shared" si="5"/>
        <v>510.3488372093023</v>
      </c>
      <c r="O23">
        <f t="shared" si="11"/>
        <v>19</v>
      </c>
      <c r="P23" s="3">
        <f t="shared" si="6"/>
        <v>63.65</v>
      </c>
      <c r="Q23" s="3">
        <f t="shared" si="7"/>
        <v>63.65</v>
      </c>
      <c r="R23" s="3">
        <f t="shared" si="8"/>
        <v>72.906976744186053</v>
      </c>
    </row>
    <row r="24" spans="2:18" x14ac:dyDescent="0.25">
      <c r="E24">
        <f t="shared" si="9"/>
        <v>20</v>
      </c>
      <c r="F24" s="3">
        <f t="shared" si="0"/>
        <v>74.418604651162838</v>
      </c>
      <c r="G24" s="3">
        <f t="shared" si="1"/>
        <v>93.02325581395354</v>
      </c>
      <c r="H24" s="3">
        <f t="shared" si="2"/>
        <v>111.62790697674424</v>
      </c>
      <c r="J24">
        <f t="shared" si="10"/>
        <v>20</v>
      </c>
      <c r="K24" s="3">
        <f t="shared" si="3"/>
        <v>358.1395348837209</v>
      </c>
      <c r="L24" s="3">
        <f t="shared" si="4"/>
        <v>447.67441860465118</v>
      </c>
      <c r="M24" s="3">
        <f t="shared" si="5"/>
        <v>537.20930232558135</v>
      </c>
      <c r="O24">
        <f t="shared" si="11"/>
        <v>20</v>
      </c>
      <c r="P24" s="3">
        <f t="shared" si="6"/>
        <v>67</v>
      </c>
      <c r="Q24" s="3">
        <f t="shared" si="7"/>
        <v>67</v>
      </c>
      <c r="R24" s="3">
        <f t="shared" si="8"/>
        <v>76.744186046511629</v>
      </c>
    </row>
    <row r="25" spans="2:18" x14ac:dyDescent="0.25">
      <c r="E25">
        <f t="shared" si="9"/>
        <v>21</v>
      </c>
      <c r="F25" s="3">
        <f t="shared" si="0"/>
        <v>78.13953488372097</v>
      </c>
      <c r="G25" s="3">
        <f t="shared" si="1"/>
        <v>97.674418604651223</v>
      </c>
      <c r="H25" s="3">
        <f t="shared" si="2"/>
        <v>117.20930232558146</v>
      </c>
      <c r="J25">
        <f t="shared" si="10"/>
        <v>21</v>
      </c>
      <c r="K25" s="3">
        <f t="shared" si="3"/>
        <v>376.04651162790697</v>
      </c>
      <c r="L25" s="3">
        <f t="shared" si="4"/>
        <v>470.05813953488376</v>
      </c>
      <c r="M25" s="3">
        <f t="shared" si="5"/>
        <v>564.06976744186045</v>
      </c>
      <c r="O25">
        <f t="shared" si="11"/>
        <v>21</v>
      </c>
      <c r="P25" s="3">
        <f t="shared" si="6"/>
        <v>70.350000000000009</v>
      </c>
      <c r="Q25" s="3">
        <f t="shared" si="7"/>
        <v>70.350000000000009</v>
      </c>
      <c r="R25" s="3">
        <f t="shared" si="8"/>
        <v>80.581395348837219</v>
      </c>
    </row>
    <row r="26" spans="2:18" x14ac:dyDescent="0.25">
      <c r="E26">
        <f t="shared" si="9"/>
        <v>22</v>
      </c>
      <c r="F26" s="3">
        <f t="shared" si="0"/>
        <v>81.860465116279116</v>
      </c>
      <c r="G26" s="3">
        <f t="shared" si="1"/>
        <v>102.32558139534891</v>
      </c>
      <c r="H26" s="3">
        <f t="shared" si="2"/>
        <v>122.79069767441867</v>
      </c>
      <c r="J26">
        <f t="shared" si="10"/>
        <v>22</v>
      </c>
      <c r="K26" s="3">
        <f t="shared" si="3"/>
        <v>393.95348837209303</v>
      </c>
      <c r="L26" s="3">
        <f t="shared" si="4"/>
        <v>492.44186046511629</v>
      </c>
      <c r="M26" s="3">
        <f t="shared" si="5"/>
        <v>590.93023255813955</v>
      </c>
      <c r="O26">
        <f t="shared" si="11"/>
        <v>22</v>
      </c>
      <c r="P26" s="3">
        <f t="shared" si="6"/>
        <v>73.7</v>
      </c>
      <c r="Q26" s="3">
        <f t="shared" si="7"/>
        <v>73.7</v>
      </c>
      <c r="R26" s="3">
        <f t="shared" si="8"/>
        <v>84.418604651162795</v>
      </c>
    </row>
    <row r="27" spans="2:18" x14ac:dyDescent="0.25">
      <c r="E27">
        <f t="shared" si="9"/>
        <v>23</v>
      </c>
      <c r="F27" s="3">
        <f t="shared" si="0"/>
        <v>85.581395348837262</v>
      </c>
      <c r="G27" s="3">
        <f t="shared" si="1"/>
        <v>106.97674418604657</v>
      </c>
      <c r="H27" s="3">
        <f t="shared" si="2"/>
        <v>128.37209302325587</v>
      </c>
      <c r="J27">
        <f t="shared" si="10"/>
        <v>23</v>
      </c>
      <c r="K27" s="3">
        <f t="shared" si="3"/>
        <v>411.86046511627904</v>
      </c>
      <c r="L27" s="3">
        <f t="shared" si="4"/>
        <v>514.82558139534888</v>
      </c>
      <c r="M27" s="3">
        <f t="shared" si="5"/>
        <v>617.79069767441865</v>
      </c>
      <c r="O27">
        <f t="shared" si="11"/>
        <v>23</v>
      </c>
      <c r="P27" s="3">
        <f t="shared" si="6"/>
        <v>77.05</v>
      </c>
      <c r="Q27" s="3">
        <f t="shared" si="7"/>
        <v>77.05</v>
      </c>
      <c r="R27" s="3">
        <f t="shared" si="8"/>
        <v>88.255813953488371</v>
      </c>
    </row>
    <row r="28" spans="2:18" x14ac:dyDescent="0.25">
      <c r="E28">
        <f t="shared" si="9"/>
        <v>24</v>
      </c>
      <c r="F28" s="3">
        <f t="shared" si="0"/>
        <v>89.302325581395394</v>
      </c>
      <c r="G28" s="3">
        <f t="shared" si="1"/>
        <v>111.62790697674426</v>
      </c>
      <c r="H28" s="3">
        <f t="shared" si="2"/>
        <v>133.95348837209309</v>
      </c>
      <c r="J28">
        <f t="shared" si="10"/>
        <v>24</v>
      </c>
      <c r="K28" s="3">
        <f t="shared" si="3"/>
        <v>429.76744186046511</v>
      </c>
      <c r="L28" s="3">
        <f t="shared" si="4"/>
        <v>537.20930232558146</v>
      </c>
      <c r="M28" s="3">
        <f t="shared" si="5"/>
        <v>644.65116279069764</v>
      </c>
      <c r="O28">
        <f t="shared" si="11"/>
        <v>24</v>
      </c>
      <c r="P28" s="3">
        <f t="shared" si="6"/>
        <v>80.400000000000006</v>
      </c>
      <c r="Q28" s="3">
        <f t="shared" si="7"/>
        <v>80.400000000000006</v>
      </c>
      <c r="R28" s="3">
        <f t="shared" si="8"/>
        <v>92.093023255813961</v>
      </c>
    </row>
    <row r="29" spans="2:18" x14ac:dyDescent="0.25">
      <c r="E29">
        <f t="shared" si="9"/>
        <v>25</v>
      </c>
      <c r="F29" s="3">
        <f t="shared" si="0"/>
        <v>93.02325581395354</v>
      </c>
      <c r="G29" s="3">
        <f t="shared" si="1"/>
        <v>116.27906976744194</v>
      </c>
      <c r="H29" s="3">
        <f t="shared" si="2"/>
        <v>139.53488372093031</v>
      </c>
      <c r="J29">
        <f t="shared" si="10"/>
        <v>25</v>
      </c>
      <c r="K29" s="3">
        <f t="shared" si="3"/>
        <v>447.67441860465118</v>
      </c>
      <c r="L29" s="3">
        <f t="shared" si="4"/>
        <v>559.59302325581405</v>
      </c>
      <c r="M29" s="3">
        <f t="shared" si="5"/>
        <v>671.51162790697674</v>
      </c>
      <c r="O29">
        <f t="shared" si="11"/>
        <v>25</v>
      </c>
      <c r="P29" s="3">
        <f t="shared" si="6"/>
        <v>83.75</v>
      </c>
      <c r="Q29" s="3">
        <f t="shared" si="7"/>
        <v>83.75</v>
      </c>
      <c r="R29" s="3">
        <f t="shared" si="8"/>
        <v>95.930232558139537</v>
      </c>
    </row>
    <row r="30" spans="2:18" x14ac:dyDescent="0.25">
      <c r="E30">
        <f t="shared" si="9"/>
        <v>26</v>
      </c>
      <c r="F30" s="3">
        <f t="shared" si="0"/>
        <v>96.744186046511686</v>
      </c>
      <c r="G30" s="3">
        <f t="shared" si="1"/>
        <v>120.93023255813961</v>
      </c>
      <c r="H30" s="3">
        <f t="shared" si="2"/>
        <v>145.11627906976753</v>
      </c>
      <c r="J30">
        <f t="shared" si="10"/>
        <v>26</v>
      </c>
      <c r="K30" s="3">
        <f t="shared" si="3"/>
        <v>465.58139534883719</v>
      </c>
      <c r="L30" s="3">
        <f t="shared" si="4"/>
        <v>581.97674418604652</v>
      </c>
      <c r="M30" s="3">
        <f t="shared" si="5"/>
        <v>698.37209302325584</v>
      </c>
      <c r="O30">
        <f t="shared" si="11"/>
        <v>26</v>
      </c>
      <c r="P30" s="3">
        <f t="shared" si="6"/>
        <v>87.100000000000009</v>
      </c>
      <c r="Q30" s="3">
        <f t="shared" si="7"/>
        <v>87.100000000000009</v>
      </c>
      <c r="R30" s="3">
        <f t="shared" si="8"/>
        <v>99.767441860465127</v>
      </c>
    </row>
    <row r="31" spans="2:18" x14ac:dyDescent="0.25">
      <c r="E31">
        <f>E30 + 1</f>
        <v>27</v>
      </c>
      <c r="F31" s="3">
        <f t="shared" si="0"/>
        <v>100.46511627906983</v>
      </c>
      <c r="G31" s="3">
        <f t="shared" si="1"/>
        <v>125.58139534883729</v>
      </c>
      <c r="H31" s="3">
        <f t="shared" si="2"/>
        <v>150.69767441860472</v>
      </c>
      <c r="J31">
        <f t="shared" si="10"/>
        <v>27</v>
      </c>
      <c r="K31" s="3">
        <f t="shared" si="3"/>
        <v>483.48837209302326</v>
      </c>
      <c r="L31" s="3">
        <f t="shared" si="4"/>
        <v>604.3604651162791</v>
      </c>
      <c r="M31" s="3">
        <f t="shared" si="5"/>
        <v>725.23255813953483</v>
      </c>
      <c r="O31">
        <f t="shared" si="11"/>
        <v>27</v>
      </c>
      <c r="P31" s="3">
        <f t="shared" si="6"/>
        <v>90.45</v>
      </c>
      <c r="Q31" s="3">
        <f t="shared" si="7"/>
        <v>90.45</v>
      </c>
      <c r="R31" s="3">
        <f t="shared" si="8"/>
        <v>103.6046511627907</v>
      </c>
    </row>
    <row r="32" spans="2:18" x14ac:dyDescent="0.25">
      <c r="E32">
        <f t="shared" si="9"/>
        <v>28</v>
      </c>
      <c r="F32" s="3">
        <f t="shared" si="0"/>
        <v>104.18604651162796</v>
      </c>
      <c r="G32" s="3">
        <f t="shared" si="1"/>
        <v>130.23255813953497</v>
      </c>
      <c r="H32" s="3">
        <f t="shared" si="2"/>
        <v>156.27906976744194</v>
      </c>
      <c r="J32">
        <f t="shared" si="10"/>
        <v>28</v>
      </c>
      <c r="K32" s="3">
        <f t="shared" si="3"/>
        <v>501.39534883720933</v>
      </c>
      <c r="L32" s="3">
        <f t="shared" si="4"/>
        <v>626.74418604651169</v>
      </c>
      <c r="M32" s="3">
        <f t="shared" si="5"/>
        <v>752.09302325581393</v>
      </c>
      <c r="O32">
        <f t="shared" si="11"/>
        <v>28</v>
      </c>
      <c r="P32" s="3">
        <f t="shared" si="6"/>
        <v>93.8</v>
      </c>
      <c r="Q32" s="3">
        <f t="shared" si="7"/>
        <v>93.8</v>
      </c>
      <c r="R32" s="3">
        <f t="shared" si="8"/>
        <v>107.44186046511628</v>
      </c>
    </row>
    <row r="33" spans="5:18" x14ac:dyDescent="0.25">
      <c r="E33">
        <f t="shared" si="9"/>
        <v>29</v>
      </c>
      <c r="F33" s="3">
        <f t="shared" si="0"/>
        <v>107.90697674418611</v>
      </c>
      <c r="G33" s="3">
        <f t="shared" si="1"/>
        <v>134.88372093023264</v>
      </c>
      <c r="H33" s="3">
        <f t="shared" si="2"/>
        <v>161.86046511627916</v>
      </c>
      <c r="J33">
        <f t="shared" si="10"/>
        <v>29</v>
      </c>
      <c r="K33" s="3">
        <f t="shared" si="3"/>
        <v>519.30232558139539</v>
      </c>
      <c r="L33" s="3">
        <f t="shared" si="4"/>
        <v>649.12790697674427</v>
      </c>
      <c r="M33" s="3">
        <f t="shared" si="5"/>
        <v>778.95348837209303</v>
      </c>
      <c r="O33">
        <f t="shared" si="11"/>
        <v>29</v>
      </c>
      <c r="P33" s="3">
        <f t="shared" si="6"/>
        <v>97.15</v>
      </c>
      <c r="Q33" s="3">
        <f t="shared" si="7"/>
        <v>97.15</v>
      </c>
      <c r="R33" s="3">
        <f t="shared" si="8"/>
        <v>111.27906976744187</v>
      </c>
    </row>
    <row r="34" spans="5:18" x14ac:dyDescent="0.25">
      <c r="E34">
        <f t="shared" si="9"/>
        <v>30</v>
      </c>
      <c r="F34" s="3">
        <f t="shared" si="0"/>
        <v>111.62790697674426</v>
      </c>
      <c r="G34" s="3">
        <f t="shared" si="1"/>
        <v>139.53488372093031</v>
      </c>
      <c r="H34" s="3">
        <f t="shared" si="2"/>
        <v>167.44186046511635</v>
      </c>
      <c r="J34">
        <f t="shared" si="10"/>
        <v>30</v>
      </c>
      <c r="K34" s="3">
        <f t="shared" si="3"/>
        <v>537.20930232558135</v>
      </c>
      <c r="L34" s="3">
        <f t="shared" si="4"/>
        <v>671.51162790697674</v>
      </c>
      <c r="M34" s="3">
        <f t="shared" si="5"/>
        <v>805.81395348837214</v>
      </c>
      <c r="O34">
        <f t="shared" si="11"/>
        <v>30</v>
      </c>
      <c r="P34" s="3">
        <f t="shared" si="6"/>
        <v>100.5</v>
      </c>
      <c r="Q34" s="3">
        <f t="shared" si="7"/>
        <v>100.5</v>
      </c>
      <c r="R34" s="3">
        <f t="shared" si="8"/>
        <v>115.11627906976744</v>
      </c>
    </row>
    <row r="35" spans="5:18" x14ac:dyDescent="0.25">
      <c r="E35">
        <f t="shared" si="9"/>
        <v>31</v>
      </c>
      <c r="F35" s="3">
        <f t="shared" si="0"/>
        <v>115.34883720930239</v>
      </c>
      <c r="G35" s="3">
        <f t="shared" si="1"/>
        <v>144.18604651162801</v>
      </c>
      <c r="H35" s="3">
        <f t="shared" si="2"/>
        <v>173.02325581395357</v>
      </c>
      <c r="J35">
        <f t="shared" si="10"/>
        <v>31</v>
      </c>
      <c r="K35" s="3">
        <f t="shared" si="3"/>
        <v>555.11627906976742</v>
      </c>
      <c r="L35" s="3">
        <f t="shared" si="4"/>
        <v>693.89534883720933</v>
      </c>
      <c r="M35" s="3">
        <f t="shared" si="5"/>
        <v>832.67441860465112</v>
      </c>
      <c r="O35">
        <f t="shared" si="11"/>
        <v>31</v>
      </c>
      <c r="P35" s="3">
        <f t="shared" si="6"/>
        <v>103.85000000000001</v>
      </c>
      <c r="Q35" s="3">
        <f t="shared" si="7"/>
        <v>103.85000000000001</v>
      </c>
      <c r="R35" s="3">
        <f t="shared" si="8"/>
        <v>118.95348837209303</v>
      </c>
    </row>
    <row r="36" spans="5:18" x14ac:dyDescent="0.25">
      <c r="E36">
        <f t="shared" si="9"/>
        <v>32</v>
      </c>
      <c r="F36" s="3">
        <f t="shared" si="0"/>
        <v>119.06976744186053</v>
      </c>
      <c r="G36" s="3">
        <f t="shared" si="1"/>
        <v>148.83720930232568</v>
      </c>
      <c r="H36" s="3">
        <f t="shared" si="2"/>
        <v>178.60465116279079</v>
      </c>
      <c r="J36">
        <f t="shared" si="10"/>
        <v>32</v>
      </c>
      <c r="K36" s="3">
        <f t="shared" si="3"/>
        <v>573.02325581395348</v>
      </c>
      <c r="L36" s="3">
        <f t="shared" si="4"/>
        <v>716.27906976744191</v>
      </c>
      <c r="M36" s="3">
        <f t="shared" si="5"/>
        <v>859.53488372093022</v>
      </c>
      <c r="O36">
        <f t="shared" si="11"/>
        <v>32</v>
      </c>
      <c r="P36" s="3">
        <f t="shared" si="6"/>
        <v>107.2</v>
      </c>
      <c r="Q36" s="3">
        <f t="shared" si="7"/>
        <v>107.2</v>
      </c>
      <c r="R36" s="3">
        <f t="shared" si="8"/>
        <v>122.79069767441861</v>
      </c>
    </row>
    <row r="37" spans="5:18" x14ac:dyDescent="0.25">
      <c r="E37">
        <f t="shared" si="9"/>
        <v>33</v>
      </c>
      <c r="F37" s="3">
        <f t="shared" si="0"/>
        <v>122.79069767441868</v>
      </c>
      <c r="G37" s="3">
        <f t="shared" si="1"/>
        <v>153.48837209302334</v>
      </c>
      <c r="H37" s="3">
        <f t="shared" si="2"/>
        <v>184.18604651162801</v>
      </c>
      <c r="J37">
        <f t="shared" si="10"/>
        <v>33</v>
      </c>
      <c r="K37" s="3">
        <f t="shared" si="3"/>
        <v>590.93023255813955</v>
      </c>
      <c r="L37" s="3">
        <f t="shared" si="4"/>
        <v>738.6627906976745</v>
      </c>
      <c r="M37" s="3">
        <f t="shared" si="5"/>
        <v>886.39534883720933</v>
      </c>
      <c r="O37">
        <f t="shared" si="11"/>
        <v>33</v>
      </c>
      <c r="P37" s="3">
        <f t="shared" si="6"/>
        <v>110.55</v>
      </c>
      <c r="Q37" s="3">
        <f t="shared" si="7"/>
        <v>110.55</v>
      </c>
      <c r="R37" s="3">
        <f t="shared" si="8"/>
        <v>126.62790697674419</v>
      </c>
    </row>
    <row r="38" spans="5:18" x14ac:dyDescent="0.25">
      <c r="E38">
        <f t="shared" si="9"/>
        <v>34</v>
      </c>
      <c r="F38" s="3">
        <f t="shared" si="0"/>
        <v>126.51162790697681</v>
      </c>
      <c r="G38" s="3">
        <f t="shared" si="1"/>
        <v>158.13953488372104</v>
      </c>
      <c r="H38" s="3">
        <f t="shared" si="2"/>
        <v>189.76744186046523</v>
      </c>
      <c r="J38">
        <f t="shared" si="10"/>
        <v>34</v>
      </c>
      <c r="K38" s="3">
        <f t="shared" si="3"/>
        <v>608.83720930232562</v>
      </c>
      <c r="L38" s="3">
        <f t="shared" si="4"/>
        <v>761.04651162790708</v>
      </c>
      <c r="M38" s="3">
        <f t="shared" si="5"/>
        <v>913.25581395348831</v>
      </c>
      <c r="O38">
        <f t="shared" si="11"/>
        <v>34</v>
      </c>
      <c r="P38" s="3">
        <f t="shared" si="6"/>
        <v>113.9</v>
      </c>
      <c r="Q38" s="3">
        <f t="shared" si="7"/>
        <v>113.9</v>
      </c>
      <c r="R38" s="3">
        <f t="shared" si="8"/>
        <v>130.46511627906978</v>
      </c>
    </row>
    <row r="39" spans="5:18" x14ac:dyDescent="0.25">
      <c r="E39">
        <f t="shared" si="9"/>
        <v>35</v>
      </c>
      <c r="F39" s="3">
        <f t="shared" si="0"/>
        <v>130.23255813953497</v>
      </c>
      <c r="G39" s="3">
        <f t="shared" si="1"/>
        <v>162.79069767441871</v>
      </c>
      <c r="H39" s="3">
        <f t="shared" si="2"/>
        <v>195.34883720930242</v>
      </c>
      <c r="J39">
        <f t="shared" si="10"/>
        <v>35</v>
      </c>
      <c r="K39" s="3">
        <f t="shared" si="3"/>
        <v>626.74418604651157</v>
      </c>
      <c r="L39" s="3">
        <f t="shared" si="4"/>
        <v>783.43023255813955</v>
      </c>
      <c r="M39" s="3">
        <f t="shared" si="5"/>
        <v>940.11627906976742</v>
      </c>
      <c r="O39">
        <f t="shared" si="11"/>
        <v>35</v>
      </c>
      <c r="P39" s="3">
        <f t="shared" si="6"/>
        <v>117.25</v>
      </c>
      <c r="Q39" s="3">
        <f t="shared" si="7"/>
        <v>117.25</v>
      </c>
      <c r="R39" s="3">
        <f t="shared" si="8"/>
        <v>134.30232558139537</v>
      </c>
    </row>
    <row r="40" spans="5:18" x14ac:dyDescent="0.25">
      <c r="E40">
        <f t="shared" si="9"/>
        <v>36</v>
      </c>
      <c r="F40" s="3">
        <f t="shared" si="0"/>
        <v>133.95348837209309</v>
      </c>
      <c r="G40" s="3">
        <f t="shared" si="1"/>
        <v>167.44186046511638</v>
      </c>
      <c r="H40" s="3">
        <f t="shared" si="2"/>
        <v>200.93023255813964</v>
      </c>
      <c r="J40">
        <f t="shared" si="10"/>
        <v>36</v>
      </c>
      <c r="K40" s="3">
        <f t="shared" si="3"/>
        <v>644.65116279069764</v>
      </c>
      <c r="L40" s="3">
        <f t="shared" si="4"/>
        <v>805.81395348837214</v>
      </c>
      <c r="M40" s="3">
        <f t="shared" si="5"/>
        <v>966.97674418604652</v>
      </c>
      <c r="O40">
        <f t="shared" si="11"/>
        <v>36</v>
      </c>
      <c r="P40" s="3">
        <f t="shared" si="6"/>
        <v>120.60000000000001</v>
      </c>
      <c r="Q40" s="3">
        <f t="shared" si="7"/>
        <v>120.60000000000001</v>
      </c>
      <c r="R40" s="3">
        <f t="shared" si="8"/>
        <v>138.13953488372093</v>
      </c>
    </row>
    <row r="41" spans="5:18" x14ac:dyDescent="0.25">
      <c r="E41">
        <f t="shared" si="9"/>
        <v>37</v>
      </c>
      <c r="F41" s="3">
        <f t="shared" si="0"/>
        <v>137.67441860465124</v>
      </c>
      <c r="G41" s="3">
        <f t="shared" si="1"/>
        <v>172.09302325581407</v>
      </c>
      <c r="H41" s="3">
        <f t="shared" si="2"/>
        <v>206.51162790697686</v>
      </c>
      <c r="J41">
        <f t="shared" si="10"/>
        <v>37</v>
      </c>
      <c r="K41" s="3">
        <f t="shared" si="3"/>
        <v>662.55813953488371</v>
      </c>
      <c r="L41" s="3">
        <f t="shared" si="4"/>
        <v>828.19767441860472</v>
      </c>
      <c r="M41" s="3">
        <f t="shared" si="5"/>
        <v>993.83720930232562</v>
      </c>
      <c r="O41">
        <f t="shared" si="11"/>
        <v>37</v>
      </c>
      <c r="P41" s="3">
        <f t="shared" si="6"/>
        <v>123.95</v>
      </c>
      <c r="Q41" s="3">
        <f t="shared" si="7"/>
        <v>123.95</v>
      </c>
      <c r="R41" s="3">
        <f t="shared" si="8"/>
        <v>141.97674418604652</v>
      </c>
    </row>
    <row r="42" spans="5:18" x14ac:dyDescent="0.25">
      <c r="E42">
        <f t="shared" si="9"/>
        <v>38</v>
      </c>
      <c r="F42" s="3">
        <f t="shared" si="0"/>
        <v>141.39534883720938</v>
      </c>
      <c r="G42" s="3">
        <f t="shared" si="1"/>
        <v>176.74418604651174</v>
      </c>
      <c r="H42" s="3">
        <f t="shared" si="2"/>
        <v>212.09302325581405</v>
      </c>
      <c r="J42">
        <f t="shared" si="10"/>
        <v>38</v>
      </c>
      <c r="K42" s="3">
        <f t="shared" si="3"/>
        <v>680.46511627906978</v>
      </c>
      <c r="L42" s="3">
        <f t="shared" si="4"/>
        <v>850.5813953488373</v>
      </c>
      <c r="M42" s="3">
        <f t="shared" si="5"/>
        <v>1020.6976744186046</v>
      </c>
      <c r="O42">
        <f t="shared" si="11"/>
        <v>38</v>
      </c>
      <c r="P42" s="3">
        <f t="shared" si="6"/>
        <v>127.3</v>
      </c>
      <c r="Q42" s="3">
        <f t="shared" si="7"/>
        <v>127.3</v>
      </c>
      <c r="R42" s="3">
        <f t="shared" si="8"/>
        <v>145.81395348837211</v>
      </c>
    </row>
    <row r="43" spans="5:18" x14ac:dyDescent="0.25">
      <c r="E43">
        <f t="shared" si="9"/>
        <v>39</v>
      </c>
      <c r="F43" s="3">
        <f t="shared" si="0"/>
        <v>145.11627906976753</v>
      </c>
      <c r="G43" s="3">
        <f t="shared" si="1"/>
        <v>181.39534883720941</v>
      </c>
      <c r="H43" s="3">
        <f t="shared" si="2"/>
        <v>217.67441860465127</v>
      </c>
      <c r="J43">
        <f t="shared" si="10"/>
        <v>39</v>
      </c>
      <c r="K43" s="3">
        <f t="shared" si="3"/>
        <v>698.37209302325584</v>
      </c>
      <c r="L43" s="3">
        <f t="shared" si="4"/>
        <v>872.96511627906978</v>
      </c>
      <c r="M43" s="3">
        <f t="shared" si="5"/>
        <v>1047.5581395348838</v>
      </c>
      <c r="O43">
        <f t="shared" si="11"/>
        <v>39</v>
      </c>
      <c r="P43" s="3">
        <f t="shared" si="6"/>
        <v>130.65</v>
      </c>
      <c r="Q43" s="3">
        <f t="shared" si="7"/>
        <v>130.65</v>
      </c>
      <c r="R43" s="3">
        <f t="shared" si="8"/>
        <v>149.65116279069767</v>
      </c>
    </row>
    <row r="44" spans="5:18" x14ac:dyDescent="0.25">
      <c r="E44">
        <f t="shared" si="9"/>
        <v>40</v>
      </c>
      <c r="F44" s="3">
        <f t="shared" si="0"/>
        <v>148.83720930232568</v>
      </c>
      <c r="G44" s="3">
        <f t="shared" si="1"/>
        <v>186.04651162790708</v>
      </c>
      <c r="H44" s="3">
        <f t="shared" si="2"/>
        <v>223.25581395348848</v>
      </c>
      <c r="J44">
        <f t="shared" si="10"/>
        <v>40</v>
      </c>
      <c r="K44" s="3">
        <f t="shared" si="3"/>
        <v>716.2790697674418</v>
      </c>
      <c r="L44" s="3">
        <f t="shared" si="4"/>
        <v>895.34883720930236</v>
      </c>
      <c r="M44" s="3">
        <f t="shared" si="5"/>
        <v>1074.4186046511627</v>
      </c>
      <c r="O44">
        <f t="shared" si="11"/>
        <v>40</v>
      </c>
      <c r="P44" s="3">
        <f t="shared" si="6"/>
        <v>134</v>
      </c>
      <c r="Q44" s="3">
        <f t="shared" si="7"/>
        <v>134</v>
      </c>
      <c r="R44" s="3">
        <f t="shared" si="8"/>
        <v>153.48837209302326</v>
      </c>
    </row>
    <row r="45" spans="5:18" x14ac:dyDescent="0.25">
      <c r="E45">
        <f t="shared" si="9"/>
        <v>41</v>
      </c>
      <c r="F45" s="3">
        <f t="shared" si="0"/>
        <v>152.55813953488382</v>
      </c>
      <c r="G45" s="3">
        <f t="shared" si="1"/>
        <v>190.69767441860478</v>
      </c>
      <c r="H45" s="3">
        <f t="shared" si="2"/>
        <v>228.8372093023257</v>
      </c>
      <c r="J45">
        <f t="shared" si="10"/>
        <v>41</v>
      </c>
      <c r="K45" s="3">
        <f t="shared" si="3"/>
        <v>734.18604651162786</v>
      </c>
      <c r="L45" s="3">
        <f t="shared" si="4"/>
        <v>917.73255813953494</v>
      </c>
      <c r="M45" s="3">
        <f t="shared" si="5"/>
        <v>1101.2790697674418</v>
      </c>
      <c r="O45">
        <f t="shared" si="11"/>
        <v>41</v>
      </c>
      <c r="P45" s="3">
        <f t="shared" si="6"/>
        <v>137.35</v>
      </c>
      <c r="Q45" s="3">
        <f t="shared" si="7"/>
        <v>137.35</v>
      </c>
      <c r="R45" s="3">
        <f t="shared" si="8"/>
        <v>157.32558139534885</v>
      </c>
    </row>
    <row r="46" spans="5:18" x14ac:dyDescent="0.25">
      <c r="E46">
        <f t="shared" si="9"/>
        <v>42</v>
      </c>
      <c r="F46" s="3">
        <f t="shared" si="0"/>
        <v>156.27906976744194</v>
      </c>
      <c r="G46" s="3">
        <f t="shared" si="1"/>
        <v>195.34883720930245</v>
      </c>
      <c r="H46" s="3">
        <f t="shared" si="2"/>
        <v>234.41860465116292</v>
      </c>
      <c r="J46">
        <f t="shared" si="10"/>
        <v>42</v>
      </c>
      <c r="K46" s="3">
        <f t="shared" si="3"/>
        <v>752.09302325581393</v>
      </c>
      <c r="L46" s="3">
        <f t="shared" si="4"/>
        <v>940.11627906976753</v>
      </c>
      <c r="M46" s="3">
        <f t="shared" si="5"/>
        <v>1128.1395348837209</v>
      </c>
      <c r="O46">
        <f t="shared" si="11"/>
        <v>42</v>
      </c>
      <c r="P46" s="3">
        <f t="shared" si="6"/>
        <v>140.70000000000002</v>
      </c>
      <c r="Q46" s="3">
        <f t="shared" si="7"/>
        <v>140.70000000000002</v>
      </c>
      <c r="R46" s="3">
        <f t="shared" si="8"/>
        <v>161.16279069767444</v>
      </c>
    </row>
    <row r="47" spans="5:18" x14ac:dyDescent="0.25">
      <c r="E47">
        <f t="shared" si="9"/>
        <v>43</v>
      </c>
      <c r="F47" s="3">
        <f t="shared" si="0"/>
        <v>160.00000000000009</v>
      </c>
      <c r="G47" s="3">
        <f t="shared" si="1"/>
        <v>200.00000000000011</v>
      </c>
      <c r="H47" s="3">
        <f t="shared" si="2"/>
        <v>240.00000000000011</v>
      </c>
      <c r="J47">
        <f t="shared" si="10"/>
        <v>43</v>
      </c>
      <c r="K47" s="3">
        <f t="shared" si="3"/>
        <v>770</v>
      </c>
      <c r="L47" s="3">
        <f t="shared" si="4"/>
        <v>962.50000000000011</v>
      </c>
      <c r="M47" s="3">
        <f t="shared" si="5"/>
        <v>1155</v>
      </c>
      <c r="O47">
        <f t="shared" si="11"/>
        <v>43</v>
      </c>
      <c r="P47" s="3">
        <f t="shared" si="6"/>
        <v>144.05000000000001</v>
      </c>
      <c r="Q47" s="3">
        <f t="shared" si="7"/>
        <v>144.05000000000001</v>
      </c>
      <c r="R47" s="3">
        <f t="shared" si="8"/>
        <v>165</v>
      </c>
    </row>
    <row r="48" spans="5:18" x14ac:dyDescent="0.25">
      <c r="E48">
        <f t="shared" si="9"/>
        <v>44</v>
      </c>
      <c r="F48" s="3">
        <f t="shared" si="0"/>
        <v>163.72093023255823</v>
      </c>
      <c r="G48" s="3">
        <f t="shared" si="1"/>
        <v>204.65116279069781</v>
      </c>
      <c r="H48" s="3">
        <f t="shared" si="2"/>
        <v>245.58139534883733</v>
      </c>
      <c r="J48">
        <f t="shared" si="10"/>
        <v>44</v>
      </c>
      <c r="K48" s="3">
        <f t="shared" si="3"/>
        <v>787.90697674418607</v>
      </c>
      <c r="L48" s="3">
        <f t="shared" si="4"/>
        <v>984.88372093023258</v>
      </c>
      <c r="M48" s="3">
        <f t="shared" si="5"/>
        <v>1181.8604651162791</v>
      </c>
      <c r="O48">
        <f t="shared" si="11"/>
        <v>44</v>
      </c>
      <c r="P48" s="3">
        <f t="shared" si="6"/>
        <v>147.4</v>
      </c>
      <c r="Q48" s="3">
        <f t="shared" si="7"/>
        <v>147.4</v>
      </c>
      <c r="R48" s="3">
        <f t="shared" si="8"/>
        <v>168.83720930232559</v>
      </c>
    </row>
    <row r="49" spans="5:18" x14ac:dyDescent="0.25">
      <c r="E49">
        <f t="shared" si="9"/>
        <v>45</v>
      </c>
      <c r="F49" s="3">
        <f t="shared" si="0"/>
        <v>167.44186046511638</v>
      </c>
      <c r="G49" s="3">
        <f t="shared" si="1"/>
        <v>209.30232558139548</v>
      </c>
      <c r="H49" s="3">
        <f t="shared" si="2"/>
        <v>251.16279069767455</v>
      </c>
      <c r="J49">
        <f t="shared" si="10"/>
        <v>45</v>
      </c>
      <c r="K49" s="3">
        <f t="shared" si="3"/>
        <v>805.81395348837214</v>
      </c>
      <c r="L49" s="3">
        <f t="shared" si="4"/>
        <v>1007.2674418604652</v>
      </c>
      <c r="M49" s="3">
        <f t="shared" si="5"/>
        <v>1208.7209302325582</v>
      </c>
      <c r="O49">
        <f t="shared" si="11"/>
        <v>45</v>
      </c>
      <c r="P49" s="3">
        <f t="shared" si="6"/>
        <v>150.75</v>
      </c>
      <c r="Q49" s="3">
        <f t="shared" si="7"/>
        <v>150.75</v>
      </c>
      <c r="R49" s="3">
        <f t="shared" si="8"/>
        <v>172.67441860465118</v>
      </c>
    </row>
    <row r="50" spans="5:18" x14ac:dyDescent="0.25">
      <c r="E50">
        <f t="shared" si="9"/>
        <v>46</v>
      </c>
      <c r="F50" s="3">
        <f t="shared" si="0"/>
        <v>171.16279069767452</v>
      </c>
      <c r="G50" s="3">
        <f t="shared" si="1"/>
        <v>213.95348837209315</v>
      </c>
      <c r="H50" s="3">
        <f t="shared" si="2"/>
        <v>256.74418604651174</v>
      </c>
      <c r="J50">
        <f t="shared" si="10"/>
        <v>46</v>
      </c>
      <c r="K50" s="3">
        <f t="shared" si="3"/>
        <v>823.72093023255809</v>
      </c>
      <c r="L50" s="3">
        <f t="shared" si="4"/>
        <v>1029.6511627906978</v>
      </c>
      <c r="M50" s="3">
        <f t="shared" si="5"/>
        <v>1235.5813953488373</v>
      </c>
      <c r="O50">
        <f t="shared" si="11"/>
        <v>46</v>
      </c>
      <c r="P50" s="3">
        <f t="shared" si="6"/>
        <v>154.1</v>
      </c>
      <c r="Q50" s="3">
        <f t="shared" si="7"/>
        <v>154.1</v>
      </c>
      <c r="R50" s="3">
        <f t="shared" si="8"/>
        <v>176.51162790697674</v>
      </c>
    </row>
    <row r="51" spans="5:18" x14ac:dyDescent="0.25">
      <c r="E51">
        <f t="shared" si="9"/>
        <v>47</v>
      </c>
      <c r="F51" s="3">
        <f t="shared" si="0"/>
        <v>174.88372093023267</v>
      </c>
      <c r="G51" s="3">
        <f t="shared" si="1"/>
        <v>218.60465116279084</v>
      </c>
      <c r="H51" s="3">
        <f t="shared" si="2"/>
        <v>262.32558139534899</v>
      </c>
      <c r="J51">
        <f t="shared" si="10"/>
        <v>47</v>
      </c>
      <c r="K51" s="3">
        <f t="shared" si="3"/>
        <v>841.62790697674416</v>
      </c>
      <c r="L51" s="3">
        <f t="shared" si="4"/>
        <v>1052.0348837209303</v>
      </c>
      <c r="M51" s="3">
        <f t="shared" si="5"/>
        <v>1262.4418604651162</v>
      </c>
      <c r="O51">
        <f t="shared" si="11"/>
        <v>47</v>
      </c>
      <c r="P51" s="3">
        <f t="shared" si="6"/>
        <v>157.45000000000002</v>
      </c>
      <c r="Q51" s="3">
        <f t="shared" si="7"/>
        <v>157.45000000000002</v>
      </c>
      <c r="R51" s="3">
        <f t="shared" si="8"/>
        <v>180.34883720930233</v>
      </c>
    </row>
    <row r="52" spans="5:18" x14ac:dyDescent="0.25">
      <c r="E52">
        <f t="shared" si="9"/>
        <v>48</v>
      </c>
      <c r="F52" s="3">
        <f t="shared" si="0"/>
        <v>178.60465116279079</v>
      </c>
      <c r="G52" s="3">
        <f t="shared" si="1"/>
        <v>223.25581395348851</v>
      </c>
      <c r="H52" s="3">
        <f t="shared" si="2"/>
        <v>267.90697674418618</v>
      </c>
      <c r="J52">
        <f t="shared" si="10"/>
        <v>48</v>
      </c>
      <c r="K52" s="3">
        <f t="shared" si="3"/>
        <v>859.53488372093022</v>
      </c>
      <c r="L52" s="3">
        <f t="shared" si="4"/>
        <v>1074.4186046511629</v>
      </c>
      <c r="M52" s="3">
        <f t="shared" si="5"/>
        <v>1289.3023255813953</v>
      </c>
      <c r="O52">
        <f t="shared" si="11"/>
        <v>48</v>
      </c>
      <c r="P52" s="3">
        <f t="shared" si="6"/>
        <v>160.80000000000001</v>
      </c>
      <c r="Q52" s="3">
        <f t="shared" si="7"/>
        <v>160.80000000000001</v>
      </c>
      <c r="R52" s="3">
        <f t="shared" si="8"/>
        <v>184.18604651162792</v>
      </c>
    </row>
    <row r="53" spans="5:18" x14ac:dyDescent="0.25">
      <c r="E53">
        <f t="shared" si="9"/>
        <v>49</v>
      </c>
      <c r="F53" s="3">
        <f t="shared" si="0"/>
        <v>182.32558139534893</v>
      </c>
      <c r="G53" s="3">
        <f t="shared" si="1"/>
        <v>227.90697674418618</v>
      </c>
      <c r="H53" s="3">
        <f t="shared" si="2"/>
        <v>273.48837209302337</v>
      </c>
      <c r="J53">
        <f t="shared" si="10"/>
        <v>49</v>
      </c>
      <c r="K53" s="3">
        <f t="shared" si="3"/>
        <v>877.44186046511629</v>
      </c>
      <c r="L53" s="3">
        <f t="shared" si="4"/>
        <v>1096.8023255813955</v>
      </c>
      <c r="M53" s="3">
        <f t="shared" si="5"/>
        <v>1316.1627906976744</v>
      </c>
      <c r="O53">
        <f t="shared" si="11"/>
        <v>49</v>
      </c>
      <c r="P53" s="3">
        <f t="shared" si="6"/>
        <v>164.15</v>
      </c>
      <c r="Q53" s="3">
        <f t="shared" si="7"/>
        <v>164.15</v>
      </c>
      <c r="R53" s="3">
        <f t="shared" si="8"/>
        <v>188.02325581395348</v>
      </c>
    </row>
    <row r="54" spans="5:18" x14ac:dyDescent="0.25">
      <c r="E54">
        <f t="shared" si="9"/>
        <v>50</v>
      </c>
      <c r="F54" s="3">
        <f t="shared" si="0"/>
        <v>186.04651162790708</v>
      </c>
      <c r="G54" s="3">
        <f t="shared" si="1"/>
        <v>232.55813953488388</v>
      </c>
      <c r="H54" s="3">
        <f t="shared" si="2"/>
        <v>279.06976744186062</v>
      </c>
      <c r="J54">
        <f t="shared" si="10"/>
        <v>50</v>
      </c>
      <c r="K54" s="3">
        <f t="shared" si="3"/>
        <v>895.34883720930236</v>
      </c>
      <c r="L54" s="3">
        <f t="shared" si="4"/>
        <v>1119.1860465116281</v>
      </c>
      <c r="M54" s="3">
        <f t="shared" si="5"/>
        <v>1343.0232558139535</v>
      </c>
      <c r="O54">
        <f t="shared" si="11"/>
        <v>50</v>
      </c>
      <c r="P54" s="3">
        <f t="shared" si="6"/>
        <v>167.5</v>
      </c>
      <c r="Q54" s="3">
        <f t="shared" si="7"/>
        <v>167.5</v>
      </c>
      <c r="R54" s="3">
        <f t="shared" si="8"/>
        <v>191.86046511627907</v>
      </c>
    </row>
    <row r="55" spans="5:18" x14ac:dyDescent="0.25">
      <c r="E55">
        <f>E54 + 1</f>
        <v>51</v>
      </c>
      <c r="F55" s="3">
        <f t="shared" si="0"/>
        <v>189.76744186046523</v>
      </c>
      <c r="G55" s="3">
        <f t="shared" si="1"/>
        <v>237.20930232558155</v>
      </c>
      <c r="H55" s="3">
        <f t="shared" si="2"/>
        <v>284.65116279069781</v>
      </c>
      <c r="J55">
        <f t="shared" si="10"/>
        <v>51</v>
      </c>
      <c r="K55" s="3">
        <f t="shared" si="3"/>
        <v>913.25581395348831</v>
      </c>
      <c r="L55" s="3">
        <f t="shared" si="4"/>
        <v>1141.5697674418604</v>
      </c>
      <c r="M55" s="3">
        <f t="shared" si="5"/>
        <v>1369.8837209302326</v>
      </c>
      <c r="O55">
        <f t="shared" si="11"/>
        <v>51</v>
      </c>
      <c r="P55" s="3">
        <f t="shared" si="6"/>
        <v>170.85</v>
      </c>
      <c r="Q55" s="3">
        <f t="shared" si="7"/>
        <v>170.85</v>
      </c>
      <c r="R55" s="3">
        <f t="shared" si="8"/>
        <v>195.69767441860466</v>
      </c>
    </row>
    <row r="56" spans="5:18" x14ac:dyDescent="0.25">
      <c r="E56">
        <f t="shared" si="9"/>
        <v>52</v>
      </c>
      <c r="F56" s="3">
        <f t="shared" si="0"/>
        <v>193.48837209302337</v>
      </c>
      <c r="G56" s="3">
        <f t="shared" si="1"/>
        <v>241.86046511627922</v>
      </c>
      <c r="H56" s="3">
        <f t="shared" si="2"/>
        <v>290.23255813953506</v>
      </c>
      <c r="J56">
        <f t="shared" si="10"/>
        <v>52</v>
      </c>
      <c r="K56" s="3">
        <f t="shared" si="3"/>
        <v>931.16279069767438</v>
      </c>
      <c r="L56" s="3">
        <f t="shared" si="4"/>
        <v>1163.953488372093</v>
      </c>
      <c r="M56" s="3">
        <f t="shared" si="5"/>
        <v>1396.7441860465117</v>
      </c>
      <c r="O56">
        <f t="shared" si="11"/>
        <v>52</v>
      </c>
      <c r="P56" s="3">
        <f t="shared" si="6"/>
        <v>174.20000000000002</v>
      </c>
      <c r="Q56" s="3">
        <f t="shared" si="7"/>
        <v>174.20000000000002</v>
      </c>
      <c r="R56" s="3">
        <f t="shared" si="8"/>
        <v>199.53488372093025</v>
      </c>
    </row>
    <row r="57" spans="5:18" x14ac:dyDescent="0.25">
      <c r="E57">
        <f t="shared" si="9"/>
        <v>53</v>
      </c>
      <c r="F57" s="3">
        <f t="shared" si="0"/>
        <v>197.20930232558152</v>
      </c>
      <c r="G57" s="3">
        <f t="shared" si="1"/>
        <v>246.51162790697691</v>
      </c>
      <c r="H57" s="3">
        <f t="shared" si="2"/>
        <v>295.81395348837225</v>
      </c>
      <c r="J57">
        <f t="shared" si="10"/>
        <v>53</v>
      </c>
      <c r="K57" s="3">
        <f t="shared" si="3"/>
        <v>949.06976744186045</v>
      </c>
      <c r="L57" s="3">
        <f t="shared" si="4"/>
        <v>1186.3372093023256</v>
      </c>
      <c r="M57" s="3">
        <f t="shared" si="5"/>
        <v>1423.6046511627908</v>
      </c>
      <c r="O57">
        <f t="shared" si="11"/>
        <v>53</v>
      </c>
      <c r="P57" s="3">
        <f t="shared" si="6"/>
        <v>177.55</v>
      </c>
      <c r="Q57" s="3">
        <f t="shared" si="7"/>
        <v>177.55</v>
      </c>
      <c r="R57" s="3">
        <f t="shared" si="8"/>
        <v>203.37209302325581</v>
      </c>
    </row>
    <row r="58" spans="5:18" x14ac:dyDescent="0.25">
      <c r="E58">
        <f t="shared" si="9"/>
        <v>54</v>
      </c>
      <c r="F58" s="3">
        <f t="shared" si="0"/>
        <v>200.93023255813966</v>
      </c>
      <c r="G58" s="3">
        <f t="shared" si="1"/>
        <v>251.16279069767458</v>
      </c>
      <c r="H58" s="3">
        <f t="shared" si="2"/>
        <v>301.39534883720944</v>
      </c>
      <c r="J58">
        <f t="shared" si="10"/>
        <v>54</v>
      </c>
      <c r="K58" s="3">
        <f t="shared" si="3"/>
        <v>966.97674418604652</v>
      </c>
      <c r="L58" s="3">
        <f t="shared" si="4"/>
        <v>1208.7209302325582</v>
      </c>
      <c r="M58" s="3">
        <f t="shared" si="5"/>
        <v>1450.4651162790697</v>
      </c>
      <c r="O58">
        <f t="shared" si="11"/>
        <v>54</v>
      </c>
      <c r="P58" s="3">
        <f t="shared" si="6"/>
        <v>180.9</v>
      </c>
      <c r="Q58" s="3">
        <f t="shared" si="7"/>
        <v>180.9</v>
      </c>
      <c r="R58" s="3">
        <f t="shared" si="8"/>
        <v>207.2093023255814</v>
      </c>
    </row>
    <row r="59" spans="5:18" x14ac:dyDescent="0.25">
      <c r="E59">
        <f t="shared" si="9"/>
        <v>55</v>
      </c>
      <c r="F59" s="3">
        <f t="shared" si="0"/>
        <v>204.65116279069778</v>
      </c>
      <c r="G59" s="3">
        <f t="shared" si="1"/>
        <v>255.81395348837225</v>
      </c>
      <c r="H59" s="3">
        <f t="shared" si="2"/>
        <v>306.97674418604669</v>
      </c>
      <c r="J59">
        <f t="shared" si="10"/>
        <v>55</v>
      </c>
      <c r="K59" s="3">
        <f t="shared" si="3"/>
        <v>984.88372093023258</v>
      </c>
      <c r="L59" s="3">
        <f t="shared" si="4"/>
        <v>1231.1046511627908</v>
      </c>
      <c r="M59" s="3">
        <f t="shared" si="5"/>
        <v>1477.3255813953488</v>
      </c>
      <c r="O59">
        <f t="shared" si="11"/>
        <v>55</v>
      </c>
      <c r="P59" s="3">
        <f t="shared" si="6"/>
        <v>184.25</v>
      </c>
      <c r="Q59" s="3">
        <f t="shared" si="7"/>
        <v>184.25</v>
      </c>
      <c r="R59" s="3">
        <f t="shared" si="8"/>
        <v>211.04651162790699</v>
      </c>
    </row>
    <row r="60" spans="5:18" x14ac:dyDescent="0.25">
      <c r="E60">
        <f t="shared" si="9"/>
        <v>56</v>
      </c>
      <c r="F60" s="3">
        <f t="shared" si="0"/>
        <v>208.37209302325593</v>
      </c>
      <c r="G60" s="3">
        <f t="shared" si="1"/>
        <v>260.46511627906995</v>
      </c>
      <c r="H60" s="3">
        <f t="shared" si="2"/>
        <v>312.55813953488388</v>
      </c>
      <c r="J60">
        <f t="shared" si="10"/>
        <v>56</v>
      </c>
      <c r="K60" s="3">
        <f t="shared" si="3"/>
        <v>1002.7906976744187</v>
      </c>
      <c r="L60" s="3">
        <f t="shared" si="4"/>
        <v>1253.4883720930234</v>
      </c>
      <c r="M60" s="3">
        <f t="shared" si="5"/>
        <v>1504.1860465116279</v>
      </c>
      <c r="O60">
        <f t="shared" si="11"/>
        <v>56</v>
      </c>
      <c r="P60" s="3">
        <f t="shared" si="6"/>
        <v>187.6</v>
      </c>
      <c r="Q60" s="3">
        <f t="shared" si="7"/>
        <v>187.6</v>
      </c>
      <c r="R60" s="3">
        <f t="shared" si="8"/>
        <v>214.88372093023256</v>
      </c>
    </row>
    <row r="61" spans="5:18" x14ac:dyDescent="0.25">
      <c r="E61">
        <f t="shared" si="9"/>
        <v>57</v>
      </c>
      <c r="F61" s="3">
        <f t="shared" si="0"/>
        <v>212.09302325581407</v>
      </c>
      <c r="G61" s="3">
        <f t="shared" si="1"/>
        <v>265.11627906976759</v>
      </c>
      <c r="H61" s="3">
        <f t="shared" si="2"/>
        <v>318.13953488372107</v>
      </c>
      <c r="J61">
        <f t="shared" si="10"/>
        <v>57</v>
      </c>
      <c r="K61" s="3">
        <f t="shared" si="3"/>
        <v>1020.6976744186046</v>
      </c>
      <c r="L61" s="3">
        <f t="shared" si="4"/>
        <v>1275.872093023256</v>
      </c>
      <c r="M61" s="3">
        <f t="shared" si="5"/>
        <v>1531.046511627907</v>
      </c>
      <c r="O61">
        <f t="shared" si="11"/>
        <v>57</v>
      </c>
      <c r="P61" s="3">
        <f t="shared" si="6"/>
        <v>190.95000000000002</v>
      </c>
      <c r="Q61" s="3">
        <f t="shared" si="7"/>
        <v>190.95000000000002</v>
      </c>
      <c r="R61" s="3">
        <f t="shared" si="8"/>
        <v>218.72093023255815</v>
      </c>
    </row>
    <row r="62" spans="5:18" x14ac:dyDescent="0.25">
      <c r="E62">
        <f t="shared" si="9"/>
        <v>58</v>
      </c>
      <c r="F62" s="3">
        <f t="shared" si="0"/>
        <v>215.81395348837222</v>
      </c>
      <c r="G62" s="3">
        <f t="shared" si="1"/>
        <v>269.76744186046528</v>
      </c>
      <c r="H62" s="3">
        <f t="shared" si="2"/>
        <v>323.72093023255832</v>
      </c>
      <c r="J62">
        <f t="shared" si="10"/>
        <v>58</v>
      </c>
      <c r="K62" s="3">
        <f t="shared" si="3"/>
        <v>1038.6046511627908</v>
      </c>
      <c r="L62" s="3">
        <f t="shared" si="4"/>
        <v>1298.2558139534885</v>
      </c>
      <c r="M62" s="3">
        <f t="shared" si="5"/>
        <v>1557.9069767441861</v>
      </c>
      <c r="O62">
        <f t="shared" si="11"/>
        <v>58</v>
      </c>
      <c r="P62" s="3">
        <f t="shared" si="6"/>
        <v>194.3</v>
      </c>
      <c r="Q62" s="3">
        <f t="shared" si="7"/>
        <v>194.3</v>
      </c>
      <c r="R62" s="3">
        <f t="shared" si="8"/>
        <v>222.55813953488374</v>
      </c>
    </row>
    <row r="63" spans="5:18" x14ac:dyDescent="0.25">
      <c r="E63">
        <f t="shared" si="9"/>
        <v>59</v>
      </c>
      <c r="F63" s="3">
        <f t="shared" si="0"/>
        <v>219.53488372093037</v>
      </c>
      <c r="G63" s="3">
        <f t="shared" si="1"/>
        <v>274.41860465116298</v>
      </c>
      <c r="H63" s="3">
        <f t="shared" si="2"/>
        <v>329.30232558139551</v>
      </c>
      <c r="J63">
        <f t="shared" si="10"/>
        <v>59</v>
      </c>
      <c r="K63" s="3">
        <f t="shared" si="3"/>
        <v>1056.5116279069766</v>
      </c>
      <c r="L63" s="3">
        <f t="shared" si="4"/>
        <v>1320.6395348837211</v>
      </c>
      <c r="M63" s="3">
        <f t="shared" si="5"/>
        <v>1584.7674418604652</v>
      </c>
      <c r="O63">
        <f t="shared" si="11"/>
        <v>59</v>
      </c>
      <c r="P63" s="3">
        <f t="shared" si="6"/>
        <v>197.65</v>
      </c>
      <c r="Q63" s="3">
        <f t="shared" si="7"/>
        <v>197.65</v>
      </c>
      <c r="R63" s="3">
        <f t="shared" si="8"/>
        <v>226.3953488372093</v>
      </c>
    </row>
    <row r="64" spans="5:18" x14ac:dyDescent="0.25">
      <c r="E64">
        <f t="shared" si="9"/>
        <v>60</v>
      </c>
      <c r="F64" s="3">
        <f t="shared" si="0"/>
        <v>223.25581395348851</v>
      </c>
      <c r="G64" s="3">
        <f t="shared" si="1"/>
        <v>279.06976744186062</v>
      </c>
      <c r="H64" s="3">
        <f t="shared" si="2"/>
        <v>334.8837209302327</v>
      </c>
      <c r="J64">
        <f t="shared" si="10"/>
        <v>60</v>
      </c>
      <c r="K64" s="3">
        <f t="shared" si="3"/>
        <v>1074.4186046511627</v>
      </c>
      <c r="L64" s="3">
        <f t="shared" si="4"/>
        <v>1343.0232558139535</v>
      </c>
      <c r="M64" s="3">
        <f t="shared" si="5"/>
        <v>1611.6279069767443</v>
      </c>
      <c r="O64">
        <f t="shared" si="11"/>
        <v>60</v>
      </c>
      <c r="P64" s="3">
        <f t="shared" si="6"/>
        <v>201</v>
      </c>
      <c r="Q64" s="3">
        <f t="shared" si="7"/>
        <v>201</v>
      </c>
      <c r="R64" s="3">
        <f t="shared" si="8"/>
        <v>230.23255813953489</v>
      </c>
    </row>
    <row r="65" spans="5:18" x14ac:dyDescent="0.25">
      <c r="E65">
        <f t="shared" si="9"/>
        <v>61</v>
      </c>
      <c r="F65" s="3">
        <f t="shared" si="0"/>
        <v>226.97674418604663</v>
      </c>
      <c r="G65" s="3">
        <f t="shared" si="1"/>
        <v>283.72093023255832</v>
      </c>
      <c r="H65" s="3">
        <f t="shared" si="2"/>
        <v>340.46511627906995</v>
      </c>
      <c r="J65">
        <f t="shared" si="10"/>
        <v>61</v>
      </c>
      <c r="K65" s="3">
        <f t="shared" si="3"/>
        <v>1092.3255813953488</v>
      </c>
      <c r="L65" s="3">
        <f t="shared" si="4"/>
        <v>1365.4069767441861</v>
      </c>
      <c r="M65" s="3">
        <f t="shared" si="5"/>
        <v>1638.4883720930231</v>
      </c>
      <c r="O65">
        <f t="shared" si="11"/>
        <v>61</v>
      </c>
      <c r="P65" s="3">
        <f t="shared" si="6"/>
        <v>204.35</v>
      </c>
      <c r="Q65" s="3">
        <f t="shared" si="7"/>
        <v>204.35</v>
      </c>
      <c r="R65" s="3">
        <f t="shared" si="8"/>
        <v>234.06976744186048</v>
      </c>
    </row>
    <row r="66" spans="5:18" x14ac:dyDescent="0.25">
      <c r="E66">
        <f t="shared" si="9"/>
        <v>62</v>
      </c>
      <c r="F66" s="3">
        <f t="shared" si="0"/>
        <v>230.69767441860478</v>
      </c>
      <c r="G66" s="3">
        <f t="shared" si="1"/>
        <v>288.37209302325601</v>
      </c>
      <c r="H66" s="3">
        <f t="shared" si="2"/>
        <v>346.04651162790714</v>
      </c>
      <c r="J66">
        <f t="shared" si="10"/>
        <v>62</v>
      </c>
      <c r="K66" s="3">
        <f t="shared" si="3"/>
        <v>1110.2325581395348</v>
      </c>
      <c r="L66" s="3">
        <f t="shared" si="4"/>
        <v>1387.7906976744187</v>
      </c>
      <c r="M66" s="3">
        <f t="shared" si="5"/>
        <v>1665.3488372093022</v>
      </c>
      <c r="O66">
        <f t="shared" si="11"/>
        <v>62</v>
      </c>
      <c r="P66" s="3">
        <f t="shared" si="6"/>
        <v>207.70000000000002</v>
      </c>
      <c r="Q66" s="3">
        <f t="shared" si="7"/>
        <v>207.70000000000002</v>
      </c>
      <c r="R66" s="3">
        <f t="shared" si="8"/>
        <v>237.90697674418607</v>
      </c>
    </row>
    <row r="67" spans="5:18" x14ac:dyDescent="0.25">
      <c r="E67">
        <f t="shared" si="9"/>
        <v>63</v>
      </c>
      <c r="F67" s="3">
        <f t="shared" si="0"/>
        <v>234.41860465116292</v>
      </c>
      <c r="G67" s="3">
        <f t="shared" si="1"/>
        <v>293.02325581395365</v>
      </c>
      <c r="H67" s="3">
        <f t="shared" si="2"/>
        <v>351.62790697674438</v>
      </c>
      <c r="J67">
        <f t="shared" si="10"/>
        <v>63</v>
      </c>
      <c r="K67" s="3">
        <f t="shared" si="3"/>
        <v>1128.1395348837209</v>
      </c>
      <c r="L67" s="3">
        <f t="shared" si="4"/>
        <v>1410.1744186046512</v>
      </c>
      <c r="M67" s="3">
        <f t="shared" si="5"/>
        <v>1692.2093023255813</v>
      </c>
      <c r="O67">
        <f t="shared" si="11"/>
        <v>63</v>
      </c>
      <c r="P67" s="3">
        <f t="shared" si="6"/>
        <v>211.05</v>
      </c>
      <c r="Q67" s="3">
        <f t="shared" si="7"/>
        <v>211.05</v>
      </c>
      <c r="R67" s="3">
        <f t="shared" si="8"/>
        <v>241.74418604651163</v>
      </c>
    </row>
    <row r="68" spans="5:18" x14ac:dyDescent="0.25">
      <c r="E68">
        <f t="shared" si="9"/>
        <v>64</v>
      </c>
      <c r="F68" s="3">
        <f t="shared" si="0"/>
        <v>238.13953488372107</v>
      </c>
      <c r="G68" s="3">
        <f t="shared" si="1"/>
        <v>297.67441860465135</v>
      </c>
      <c r="H68" s="3">
        <f t="shared" si="2"/>
        <v>357.20930232558158</v>
      </c>
      <c r="J68">
        <f t="shared" si="10"/>
        <v>64</v>
      </c>
      <c r="K68" s="3">
        <f t="shared" si="3"/>
        <v>1146.046511627907</v>
      </c>
      <c r="L68" s="3">
        <f t="shared" si="4"/>
        <v>1432.5581395348838</v>
      </c>
      <c r="M68" s="3">
        <f t="shared" si="5"/>
        <v>1719.0697674418604</v>
      </c>
      <c r="O68">
        <f t="shared" si="11"/>
        <v>64</v>
      </c>
      <c r="P68" s="3">
        <f t="shared" si="6"/>
        <v>214.4</v>
      </c>
      <c r="Q68" s="3">
        <f t="shared" si="7"/>
        <v>214.4</v>
      </c>
      <c r="R68" s="3">
        <f t="shared" si="8"/>
        <v>245.58139534883722</v>
      </c>
    </row>
    <row r="69" spans="5:18" x14ac:dyDescent="0.25">
      <c r="E69">
        <f t="shared" si="9"/>
        <v>65</v>
      </c>
      <c r="F69" s="3">
        <f t="shared" si="0"/>
        <v>241.86046511627922</v>
      </c>
      <c r="G69" s="3">
        <f t="shared" si="1"/>
        <v>302.32558139534905</v>
      </c>
      <c r="H69" s="3">
        <f t="shared" si="2"/>
        <v>362.79069767441877</v>
      </c>
      <c r="J69">
        <f t="shared" si="10"/>
        <v>65</v>
      </c>
      <c r="K69" s="3">
        <f t="shared" si="3"/>
        <v>1163.953488372093</v>
      </c>
      <c r="L69" s="3">
        <f t="shared" si="4"/>
        <v>1454.9418604651164</v>
      </c>
      <c r="M69" s="3">
        <f t="shared" si="5"/>
        <v>1745.9302325581396</v>
      </c>
      <c r="O69">
        <f t="shared" si="11"/>
        <v>65</v>
      </c>
      <c r="P69" s="3">
        <f t="shared" si="6"/>
        <v>217.75</v>
      </c>
      <c r="Q69" s="3">
        <f t="shared" si="7"/>
        <v>217.75</v>
      </c>
      <c r="R69" s="3">
        <f t="shared" si="8"/>
        <v>249.41860465116281</v>
      </c>
    </row>
    <row r="70" spans="5:18" x14ac:dyDescent="0.25">
      <c r="E70">
        <f t="shared" si="9"/>
        <v>66</v>
      </c>
      <c r="F70" s="3">
        <f t="shared" ref="F70:F124" si="12">IF(SUM((($C$12-(($C$11/3)/($C$10/3)))*$C$13)*E70)&gt;SUM($C$20*E70),SUM((($C$12-(($C$11/3)/($C$10/3)))*$C$13)*E70),SUM($C$20*E70))</f>
        <v>245.58139534883736</v>
      </c>
      <c r="G70" s="3">
        <f t="shared" ref="G70:G124" si="13">IF(SUM((($C$12-(($C$11/3)/($C$10/3)))*$C$15)*E70)&gt;SUM($C$20*E70),SUM((($C$12-(($C$11/3)/($C$10/3)))*$C$15)*E70),SUM($C$20*E70))</f>
        <v>306.97674418604669</v>
      </c>
      <c r="H70" s="3">
        <f t="shared" ref="H70:H124" si="14">IF(SUM((($C$12-(($C$11/3)/($C$10/3)))*$C$14)*E70)&gt;SUM($C$20*E70),SUM((($C$12-(($C$11/3)/($C$10/3)))*$C$14)*E70),SUM($C$20*E70))</f>
        <v>368.37209302325601</v>
      </c>
      <c r="J70">
        <f t="shared" si="10"/>
        <v>66</v>
      </c>
      <c r="K70" s="3">
        <f t="shared" ref="K70:K124" si="15">IF(SUM((($C$12-(($C$18/3)/($C$10/3)))*$C$13)*J70)&gt;SUM($C$20*J70),SUM((($C$12-(($C$18/3)/($C$10/3)))*$C$13)*J70),SUM($C$20*J70))</f>
        <v>1181.8604651162791</v>
      </c>
      <c r="L70" s="3">
        <f t="shared" ref="L70:L124" si="16">IF(SUM((($C$12-(($C$18/3)/($C$10/3)))*$C$15)*J70)&gt;SUM($C$20*J70),SUM((($C$12-(($C$18/3)/($C$10/3)))*$C$15)*J70),SUM($C$20*J70))</f>
        <v>1477.325581395349</v>
      </c>
      <c r="M70" s="3">
        <f t="shared" ref="M70:M124" si="17">IF(SUM((($C$12-(($C$18/3)/($C$10/3)))*$C$14)*J70)&gt;SUM($C$20*J70),SUM((($C$12-(($C$18/3)/($C$10/3)))*$C$14)*J70),SUM($C$20*J70))</f>
        <v>1772.7906976744187</v>
      </c>
      <c r="O70">
        <f t="shared" si="11"/>
        <v>66</v>
      </c>
      <c r="P70" s="3">
        <f t="shared" ref="P70:P124" si="18">IF(SUM((($C$12-(($C$19/3)/($C$10/3)))*$C$13)*O70)&gt;SUM($C$20*J70),SUM((($C$12-(($C$19/3)/($C$10/3)))*$C$13)*O70),SUM($C$20*J70))</f>
        <v>221.1</v>
      </c>
      <c r="Q70" s="3">
        <f t="shared" ref="Q70:Q124" si="19">IF(SUM((($C$12-(($C$19/3)/($C$10/3)))*$C$15)*O70)&gt;SUM($C$20*J70),SUM((($C$12-(($C$19/3)/($C$10/3)))*$C$15)*O70),SUM($C$20*J70))</f>
        <v>221.1</v>
      </c>
      <c r="R70" s="3">
        <f t="shared" ref="R70:R124" si="20">IF(SUM((($C$12-(($C$19/3)/($C$10/3)))*$C$14)*O70)&gt;SUM($C$20*J70),SUM((($C$12-(($C$19/3)/($C$10/3)))*$C$14)*O70),SUM($C$20*J70))</f>
        <v>253.25581395348837</v>
      </c>
    </row>
    <row r="71" spans="5:18" x14ac:dyDescent="0.25">
      <c r="E71">
        <f t="shared" ref="E71:E124" si="21">E70 + 1</f>
        <v>67</v>
      </c>
      <c r="F71" s="3">
        <f t="shared" si="12"/>
        <v>249.30232558139551</v>
      </c>
      <c r="G71" s="3">
        <f t="shared" si="13"/>
        <v>311.62790697674438</v>
      </c>
      <c r="H71" s="3">
        <f t="shared" si="14"/>
        <v>373.9534883720932</v>
      </c>
      <c r="J71">
        <f t="shared" ref="J71:J124" si="22">J70 + 1</f>
        <v>67</v>
      </c>
      <c r="K71" s="3">
        <f t="shared" si="15"/>
        <v>1199.7674418604652</v>
      </c>
      <c r="L71" s="3">
        <f t="shared" si="16"/>
        <v>1499.7093023255816</v>
      </c>
      <c r="M71" s="3">
        <f t="shared" si="17"/>
        <v>1799.6511627906978</v>
      </c>
      <c r="O71">
        <f t="shared" ref="O71:O124" si="23">O70 + 1</f>
        <v>67</v>
      </c>
      <c r="P71" s="3">
        <f t="shared" si="18"/>
        <v>224.45000000000002</v>
      </c>
      <c r="Q71" s="3">
        <f t="shared" si="19"/>
        <v>224.45000000000002</v>
      </c>
      <c r="R71" s="3">
        <f t="shared" si="20"/>
        <v>257.09302325581399</v>
      </c>
    </row>
    <row r="72" spans="5:18" x14ac:dyDescent="0.25">
      <c r="E72">
        <f t="shared" si="21"/>
        <v>68</v>
      </c>
      <c r="F72" s="3">
        <f t="shared" si="12"/>
        <v>253.02325581395363</v>
      </c>
      <c r="G72" s="3">
        <f t="shared" si="13"/>
        <v>316.27906976744208</v>
      </c>
      <c r="H72" s="3">
        <f t="shared" si="14"/>
        <v>379.53488372093045</v>
      </c>
      <c r="J72">
        <f t="shared" si="22"/>
        <v>68</v>
      </c>
      <c r="K72" s="3">
        <f t="shared" si="15"/>
        <v>1217.6744186046512</v>
      </c>
      <c r="L72" s="3">
        <f t="shared" si="16"/>
        <v>1522.0930232558142</v>
      </c>
      <c r="M72" s="3">
        <f t="shared" si="17"/>
        <v>1826.5116279069766</v>
      </c>
      <c r="O72">
        <f t="shared" si="23"/>
        <v>68</v>
      </c>
      <c r="P72" s="3">
        <f t="shared" si="18"/>
        <v>227.8</v>
      </c>
      <c r="Q72" s="3">
        <f t="shared" si="19"/>
        <v>227.8</v>
      </c>
      <c r="R72" s="3">
        <f t="shared" si="20"/>
        <v>260.93023255813955</v>
      </c>
    </row>
    <row r="73" spans="5:18" x14ac:dyDescent="0.25">
      <c r="E73">
        <f t="shared" si="21"/>
        <v>69</v>
      </c>
      <c r="F73" s="3">
        <f t="shared" si="12"/>
        <v>256.7441860465118</v>
      </c>
      <c r="G73" s="3">
        <f t="shared" si="13"/>
        <v>320.93023255813972</v>
      </c>
      <c r="H73" s="3">
        <f t="shared" si="14"/>
        <v>385.11627906976764</v>
      </c>
      <c r="J73">
        <f t="shared" si="22"/>
        <v>69</v>
      </c>
      <c r="K73" s="3">
        <f t="shared" si="15"/>
        <v>1235.5813953488373</v>
      </c>
      <c r="L73" s="3">
        <f t="shared" si="16"/>
        <v>1544.4767441860465</v>
      </c>
      <c r="M73" s="3">
        <f t="shared" si="17"/>
        <v>1853.3720930232557</v>
      </c>
      <c r="O73">
        <f t="shared" si="23"/>
        <v>69</v>
      </c>
      <c r="P73" s="3">
        <f t="shared" si="18"/>
        <v>231.15</v>
      </c>
      <c r="Q73" s="3">
        <f t="shared" si="19"/>
        <v>231.15</v>
      </c>
      <c r="R73" s="3">
        <f t="shared" si="20"/>
        <v>264.76744186046511</v>
      </c>
    </row>
    <row r="74" spans="5:18" x14ac:dyDescent="0.25">
      <c r="E74">
        <f t="shared" si="21"/>
        <v>70</v>
      </c>
      <c r="F74" s="3">
        <f t="shared" si="12"/>
        <v>260.46511627906995</v>
      </c>
      <c r="G74" s="3">
        <f t="shared" si="13"/>
        <v>325.58139534883742</v>
      </c>
      <c r="H74" s="3">
        <f t="shared" si="14"/>
        <v>390.69767441860483</v>
      </c>
      <c r="J74">
        <f t="shared" si="22"/>
        <v>70</v>
      </c>
      <c r="K74" s="3">
        <f t="shared" si="15"/>
        <v>1253.4883720930231</v>
      </c>
      <c r="L74" s="3">
        <f t="shared" si="16"/>
        <v>1566.8604651162791</v>
      </c>
      <c r="M74" s="3">
        <f t="shared" si="17"/>
        <v>1880.2325581395348</v>
      </c>
      <c r="O74">
        <f t="shared" si="23"/>
        <v>70</v>
      </c>
      <c r="P74" s="3">
        <f t="shared" si="18"/>
        <v>234.5</v>
      </c>
      <c r="Q74" s="3">
        <f t="shared" si="19"/>
        <v>234.5</v>
      </c>
      <c r="R74" s="3">
        <f t="shared" si="20"/>
        <v>268.60465116279073</v>
      </c>
    </row>
    <row r="75" spans="5:18" x14ac:dyDescent="0.25">
      <c r="E75">
        <f t="shared" si="21"/>
        <v>71</v>
      </c>
      <c r="F75" s="3">
        <f t="shared" si="12"/>
        <v>264.18604651162804</v>
      </c>
      <c r="G75" s="3">
        <f t="shared" si="13"/>
        <v>330.23255813953512</v>
      </c>
      <c r="H75" s="3">
        <f t="shared" si="14"/>
        <v>396.27906976744208</v>
      </c>
      <c r="J75">
        <f t="shared" si="22"/>
        <v>71</v>
      </c>
      <c r="K75" s="3">
        <f t="shared" si="15"/>
        <v>1271.3953488372092</v>
      </c>
      <c r="L75" s="3">
        <f t="shared" si="16"/>
        <v>1589.2441860465117</v>
      </c>
      <c r="M75" s="3">
        <f t="shared" si="17"/>
        <v>1907.0930232558139</v>
      </c>
      <c r="O75">
        <f t="shared" si="23"/>
        <v>71</v>
      </c>
      <c r="P75" s="3">
        <f t="shared" si="18"/>
        <v>237.85</v>
      </c>
      <c r="Q75" s="3">
        <f t="shared" si="19"/>
        <v>237.85</v>
      </c>
      <c r="R75" s="3">
        <f t="shared" si="20"/>
        <v>272.44186046511629</v>
      </c>
    </row>
    <row r="76" spans="5:18" x14ac:dyDescent="0.25">
      <c r="E76">
        <f t="shared" si="21"/>
        <v>72</v>
      </c>
      <c r="F76" s="3">
        <f t="shared" si="12"/>
        <v>267.90697674418618</v>
      </c>
      <c r="G76" s="3">
        <f t="shared" si="13"/>
        <v>334.88372093023276</v>
      </c>
      <c r="H76" s="3">
        <f t="shared" si="14"/>
        <v>401.86046511627927</v>
      </c>
      <c r="J76">
        <f t="shared" si="22"/>
        <v>72</v>
      </c>
      <c r="K76" s="3">
        <f t="shared" si="15"/>
        <v>1289.3023255813953</v>
      </c>
      <c r="L76" s="3">
        <f t="shared" si="16"/>
        <v>1611.6279069767443</v>
      </c>
      <c r="M76" s="3">
        <f t="shared" si="17"/>
        <v>1933.953488372093</v>
      </c>
      <c r="O76">
        <f t="shared" si="23"/>
        <v>72</v>
      </c>
      <c r="P76" s="3">
        <f t="shared" si="18"/>
        <v>241.20000000000002</v>
      </c>
      <c r="Q76" s="3">
        <f t="shared" si="19"/>
        <v>241.20000000000002</v>
      </c>
      <c r="R76" s="3">
        <f t="shared" si="20"/>
        <v>276.27906976744185</v>
      </c>
    </row>
    <row r="77" spans="5:18" x14ac:dyDescent="0.25">
      <c r="E77">
        <f t="shared" si="21"/>
        <v>73</v>
      </c>
      <c r="F77" s="3">
        <f t="shared" si="12"/>
        <v>271.62790697674433</v>
      </c>
      <c r="G77" s="3">
        <f t="shared" si="13"/>
        <v>339.53488372093045</v>
      </c>
      <c r="H77" s="3">
        <f t="shared" si="14"/>
        <v>407.44186046511646</v>
      </c>
      <c r="J77">
        <f t="shared" si="22"/>
        <v>73</v>
      </c>
      <c r="K77" s="3">
        <f t="shared" si="15"/>
        <v>1307.2093023255813</v>
      </c>
      <c r="L77" s="3">
        <f t="shared" si="16"/>
        <v>1634.0116279069769</v>
      </c>
      <c r="M77" s="3">
        <f t="shared" si="17"/>
        <v>1960.8139534883721</v>
      </c>
      <c r="O77">
        <f t="shared" si="23"/>
        <v>73</v>
      </c>
      <c r="P77" s="3">
        <f t="shared" si="18"/>
        <v>244.55</v>
      </c>
      <c r="Q77" s="3">
        <f t="shared" si="19"/>
        <v>244.55</v>
      </c>
      <c r="R77" s="3">
        <f t="shared" si="20"/>
        <v>280.11627906976747</v>
      </c>
    </row>
    <row r="78" spans="5:18" x14ac:dyDescent="0.25">
      <c r="E78">
        <f t="shared" si="21"/>
        <v>74</v>
      </c>
      <c r="F78" s="3">
        <f t="shared" si="12"/>
        <v>275.34883720930247</v>
      </c>
      <c r="G78" s="3">
        <f t="shared" si="13"/>
        <v>344.18604651162815</v>
      </c>
      <c r="H78" s="3">
        <f t="shared" si="14"/>
        <v>413.02325581395371</v>
      </c>
      <c r="J78">
        <f t="shared" si="22"/>
        <v>74</v>
      </c>
      <c r="K78" s="3">
        <f t="shared" si="15"/>
        <v>1325.1162790697674</v>
      </c>
      <c r="L78" s="3">
        <f t="shared" si="16"/>
        <v>1656.3953488372094</v>
      </c>
      <c r="M78" s="3">
        <f t="shared" si="17"/>
        <v>1987.6744186046512</v>
      </c>
      <c r="O78">
        <f t="shared" si="23"/>
        <v>74</v>
      </c>
      <c r="P78" s="3">
        <f t="shared" si="18"/>
        <v>247.9</v>
      </c>
      <c r="Q78" s="3">
        <f t="shared" si="19"/>
        <v>247.9</v>
      </c>
      <c r="R78" s="3">
        <f t="shared" si="20"/>
        <v>283.95348837209303</v>
      </c>
    </row>
    <row r="79" spans="5:18" x14ac:dyDescent="0.25">
      <c r="E79">
        <f t="shared" si="21"/>
        <v>75</v>
      </c>
      <c r="F79" s="3">
        <f t="shared" si="12"/>
        <v>279.06976744186062</v>
      </c>
      <c r="G79" s="3">
        <f t="shared" si="13"/>
        <v>348.83720930232579</v>
      </c>
      <c r="H79" s="3">
        <f t="shared" si="14"/>
        <v>418.6046511627909</v>
      </c>
      <c r="J79">
        <f t="shared" si="22"/>
        <v>75</v>
      </c>
      <c r="K79" s="3">
        <f t="shared" si="15"/>
        <v>1343.0232558139535</v>
      </c>
      <c r="L79" s="3">
        <f t="shared" si="16"/>
        <v>1678.779069767442</v>
      </c>
      <c r="M79" s="3">
        <f t="shared" si="17"/>
        <v>2014.5348837209301</v>
      </c>
      <c r="O79">
        <f t="shared" si="23"/>
        <v>75</v>
      </c>
      <c r="P79" s="3">
        <f t="shared" si="18"/>
        <v>251.25</v>
      </c>
      <c r="Q79" s="3">
        <f t="shared" si="19"/>
        <v>251.25</v>
      </c>
      <c r="R79" s="3">
        <f t="shared" si="20"/>
        <v>287.7906976744186</v>
      </c>
    </row>
    <row r="80" spans="5:18" x14ac:dyDescent="0.25">
      <c r="E80">
        <f t="shared" si="21"/>
        <v>76</v>
      </c>
      <c r="F80" s="3">
        <f t="shared" si="12"/>
        <v>282.79069767441877</v>
      </c>
      <c r="G80" s="3">
        <f t="shared" si="13"/>
        <v>353.48837209302349</v>
      </c>
      <c r="H80" s="3">
        <f t="shared" si="14"/>
        <v>424.18604651162809</v>
      </c>
      <c r="J80">
        <f t="shared" si="22"/>
        <v>76</v>
      </c>
      <c r="K80" s="3">
        <f t="shared" si="15"/>
        <v>1360.9302325581396</v>
      </c>
      <c r="L80" s="3">
        <f t="shared" si="16"/>
        <v>1701.1627906976746</v>
      </c>
      <c r="M80" s="3">
        <f t="shared" si="17"/>
        <v>2041.3953488372092</v>
      </c>
      <c r="O80">
        <f t="shared" si="23"/>
        <v>76</v>
      </c>
      <c r="P80" s="3">
        <f t="shared" si="18"/>
        <v>254.6</v>
      </c>
      <c r="Q80" s="3">
        <f t="shared" si="19"/>
        <v>254.6</v>
      </c>
      <c r="R80" s="3">
        <f t="shared" si="20"/>
        <v>291.62790697674421</v>
      </c>
    </row>
    <row r="81" spans="5:18" x14ac:dyDescent="0.25">
      <c r="E81">
        <f t="shared" si="21"/>
        <v>77</v>
      </c>
      <c r="F81" s="3">
        <f t="shared" si="12"/>
        <v>286.51162790697691</v>
      </c>
      <c r="G81" s="3">
        <f t="shared" si="13"/>
        <v>358.13953488372118</v>
      </c>
      <c r="H81" s="3">
        <f t="shared" si="14"/>
        <v>429.76744186046534</v>
      </c>
      <c r="J81">
        <f t="shared" si="22"/>
        <v>77</v>
      </c>
      <c r="K81" s="3">
        <f t="shared" si="15"/>
        <v>1378.8372093023256</v>
      </c>
      <c r="L81" s="3">
        <f t="shared" si="16"/>
        <v>1723.5465116279072</v>
      </c>
      <c r="M81" s="3">
        <f t="shared" si="17"/>
        <v>2068.2558139534885</v>
      </c>
      <c r="O81">
        <f t="shared" si="23"/>
        <v>77</v>
      </c>
      <c r="P81" s="3">
        <f t="shared" si="18"/>
        <v>257.95</v>
      </c>
      <c r="Q81" s="3">
        <f t="shared" si="19"/>
        <v>257.95</v>
      </c>
      <c r="R81" s="3">
        <f t="shared" si="20"/>
        <v>295.46511627906978</v>
      </c>
    </row>
    <row r="82" spans="5:18" x14ac:dyDescent="0.25">
      <c r="E82">
        <f t="shared" si="21"/>
        <v>78</v>
      </c>
      <c r="F82" s="3">
        <f t="shared" si="12"/>
        <v>290.23255813953506</v>
      </c>
      <c r="G82" s="3">
        <f t="shared" si="13"/>
        <v>362.79069767441882</v>
      </c>
      <c r="H82" s="3">
        <f t="shared" si="14"/>
        <v>435.34883720930253</v>
      </c>
      <c r="J82">
        <f t="shared" si="22"/>
        <v>78</v>
      </c>
      <c r="K82" s="3">
        <f t="shared" si="15"/>
        <v>1396.7441860465117</v>
      </c>
      <c r="L82" s="3">
        <f t="shared" si="16"/>
        <v>1745.9302325581396</v>
      </c>
      <c r="M82" s="3">
        <f t="shared" si="17"/>
        <v>2095.1162790697676</v>
      </c>
      <c r="O82">
        <f t="shared" si="23"/>
        <v>78</v>
      </c>
      <c r="P82" s="3">
        <f t="shared" si="18"/>
        <v>261.3</v>
      </c>
      <c r="Q82" s="3">
        <f t="shared" si="19"/>
        <v>261.3</v>
      </c>
      <c r="R82" s="3">
        <f t="shared" si="20"/>
        <v>299.30232558139534</v>
      </c>
    </row>
    <row r="83" spans="5:18" x14ac:dyDescent="0.25">
      <c r="E83">
        <f t="shared" si="21"/>
        <v>79</v>
      </c>
      <c r="F83" s="3">
        <f t="shared" si="12"/>
        <v>293.9534883720932</v>
      </c>
      <c r="G83" s="3">
        <f t="shared" si="13"/>
        <v>367.44186046511652</v>
      </c>
      <c r="H83" s="3">
        <f t="shared" si="14"/>
        <v>440.93023255813978</v>
      </c>
      <c r="J83">
        <f t="shared" si="22"/>
        <v>79</v>
      </c>
      <c r="K83" s="3">
        <f t="shared" si="15"/>
        <v>1414.6511627906978</v>
      </c>
      <c r="L83" s="3">
        <f t="shared" si="16"/>
        <v>1768.3139534883721</v>
      </c>
      <c r="M83" s="3">
        <f t="shared" si="17"/>
        <v>2121.9767441860463</v>
      </c>
      <c r="O83">
        <f t="shared" si="23"/>
        <v>79</v>
      </c>
      <c r="P83" s="3">
        <f t="shared" si="18"/>
        <v>264.65000000000003</v>
      </c>
      <c r="Q83" s="3">
        <f t="shared" si="19"/>
        <v>264.65000000000003</v>
      </c>
      <c r="R83" s="3">
        <f t="shared" si="20"/>
        <v>303.13953488372096</v>
      </c>
    </row>
    <row r="84" spans="5:18" x14ac:dyDescent="0.25">
      <c r="E84">
        <f t="shared" si="21"/>
        <v>80</v>
      </c>
      <c r="F84" s="3">
        <f t="shared" si="12"/>
        <v>297.67441860465135</v>
      </c>
      <c r="G84" s="3">
        <f t="shared" si="13"/>
        <v>372.09302325581416</v>
      </c>
      <c r="H84" s="3">
        <f t="shared" si="14"/>
        <v>446.51162790697697</v>
      </c>
      <c r="J84">
        <f t="shared" si="22"/>
        <v>80</v>
      </c>
      <c r="K84" s="3">
        <f t="shared" si="15"/>
        <v>1432.5581395348836</v>
      </c>
      <c r="L84" s="3">
        <f t="shared" si="16"/>
        <v>1790.6976744186047</v>
      </c>
      <c r="M84" s="3">
        <f t="shared" si="17"/>
        <v>2148.8372093023254</v>
      </c>
      <c r="O84">
        <f t="shared" si="23"/>
        <v>80</v>
      </c>
      <c r="P84" s="3">
        <f t="shared" si="18"/>
        <v>268</v>
      </c>
      <c r="Q84" s="3">
        <f t="shared" si="19"/>
        <v>268</v>
      </c>
      <c r="R84" s="3">
        <f t="shared" si="20"/>
        <v>306.97674418604652</v>
      </c>
    </row>
    <row r="85" spans="5:18" x14ac:dyDescent="0.25">
      <c r="E85">
        <f t="shared" si="21"/>
        <v>81</v>
      </c>
      <c r="F85" s="3">
        <f t="shared" si="12"/>
        <v>301.3953488372095</v>
      </c>
      <c r="G85" s="3">
        <f t="shared" si="13"/>
        <v>376.74418604651186</v>
      </c>
      <c r="H85" s="3">
        <f t="shared" si="14"/>
        <v>452.09302325581416</v>
      </c>
      <c r="J85">
        <f t="shared" si="22"/>
        <v>81</v>
      </c>
      <c r="K85" s="3">
        <f t="shared" si="15"/>
        <v>1450.4651162790697</v>
      </c>
      <c r="L85" s="3">
        <f t="shared" si="16"/>
        <v>1813.0813953488373</v>
      </c>
      <c r="M85" s="3">
        <f t="shared" si="17"/>
        <v>2175.6976744186045</v>
      </c>
      <c r="O85">
        <f t="shared" si="23"/>
        <v>81</v>
      </c>
      <c r="P85" s="3">
        <f t="shared" si="18"/>
        <v>271.35000000000002</v>
      </c>
      <c r="Q85" s="3">
        <f t="shared" si="19"/>
        <v>271.35000000000002</v>
      </c>
      <c r="R85" s="3">
        <f t="shared" si="20"/>
        <v>310.81395348837208</v>
      </c>
    </row>
    <row r="86" spans="5:18" x14ac:dyDescent="0.25">
      <c r="E86">
        <f t="shared" si="21"/>
        <v>82</v>
      </c>
      <c r="F86" s="3">
        <f t="shared" si="12"/>
        <v>305.11627906976764</v>
      </c>
      <c r="G86" s="3">
        <f t="shared" si="13"/>
        <v>381.39534883720955</v>
      </c>
      <c r="H86" s="3">
        <f t="shared" si="14"/>
        <v>457.67441860465141</v>
      </c>
      <c r="J86">
        <f t="shared" si="22"/>
        <v>82</v>
      </c>
      <c r="K86" s="3">
        <f t="shared" si="15"/>
        <v>1468.3720930232557</v>
      </c>
      <c r="L86" s="3">
        <f t="shared" si="16"/>
        <v>1835.4651162790699</v>
      </c>
      <c r="M86" s="3">
        <f t="shared" si="17"/>
        <v>2202.5581395348836</v>
      </c>
      <c r="O86">
        <f t="shared" si="23"/>
        <v>82</v>
      </c>
      <c r="P86" s="3">
        <f t="shared" si="18"/>
        <v>274.7</v>
      </c>
      <c r="Q86" s="3">
        <f t="shared" si="19"/>
        <v>274.7</v>
      </c>
      <c r="R86" s="3">
        <f t="shared" si="20"/>
        <v>314.6511627906977</v>
      </c>
    </row>
    <row r="87" spans="5:18" x14ac:dyDescent="0.25">
      <c r="E87">
        <f t="shared" si="21"/>
        <v>83</v>
      </c>
      <c r="F87" s="3">
        <f t="shared" si="12"/>
        <v>308.83720930232579</v>
      </c>
      <c r="G87" s="3">
        <f t="shared" si="13"/>
        <v>386.04651162790719</v>
      </c>
      <c r="H87" s="3">
        <f t="shared" si="14"/>
        <v>463.2558139534886</v>
      </c>
      <c r="J87">
        <f t="shared" si="22"/>
        <v>83</v>
      </c>
      <c r="K87" s="3">
        <f t="shared" si="15"/>
        <v>1486.2790697674418</v>
      </c>
      <c r="L87" s="3">
        <f t="shared" si="16"/>
        <v>1857.8488372093025</v>
      </c>
      <c r="M87" s="3">
        <f t="shared" si="17"/>
        <v>2229.4186046511627</v>
      </c>
      <c r="O87">
        <f t="shared" si="23"/>
        <v>83</v>
      </c>
      <c r="P87" s="3">
        <f t="shared" si="18"/>
        <v>278.05</v>
      </c>
      <c r="Q87" s="3">
        <f t="shared" si="19"/>
        <v>278.05</v>
      </c>
      <c r="R87" s="3">
        <f t="shared" si="20"/>
        <v>318.48837209302326</v>
      </c>
    </row>
    <row r="88" spans="5:18" x14ac:dyDescent="0.25">
      <c r="E88">
        <f t="shared" si="21"/>
        <v>84</v>
      </c>
      <c r="F88" s="3">
        <f t="shared" si="12"/>
        <v>312.55813953488388</v>
      </c>
      <c r="G88" s="3">
        <f t="shared" si="13"/>
        <v>390.69767441860489</v>
      </c>
      <c r="H88" s="3">
        <f t="shared" si="14"/>
        <v>468.83720930232585</v>
      </c>
      <c r="J88">
        <f t="shared" si="22"/>
        <v>84</v>
      </c>
      <c r="K88" s="3">
        <f t="shared" si="15"/>
        <v>1504.1860465116279</v>
      </c>
      <c r="L88" s="3">
        <f t="shared" si="16"/>
        <v>1880.2325581395351</v>
      </c>
      <c r="M88" s="3">
        <f t="shared" si="17"/>
        <v>2256.2790697674418</v>
      </c>
      <c r="O88">
        <f t="shared" si="23"/>
        <v>84</v>
      </c>
      <c r="P88" s="3">
        <f t="shared" si="18"/>
        <v>281.40000000000003</v>
      </c>
      <c r="Q88" s="3">
        <f t="shared" si="19"/>
        <v>281.40000000000003</v>
      </c>
      <c r="R88" s="3">
        <f t="shared" si="20"/>
        <v>322.32558139534888</v>
      </c>
    </row>
    <row r="89" spans="5:18" x14ac:dyDescent="0.25">
      <c r="E89">
        <f t="shared" si="21"/>
        <v>85</v>
      </c>
      <c r="F89" s="3">
        <f t="shared" si="12"/>
        <v>316.27906976744202</v>
      </c>
      <c r="G89" s="3">
        <f t="shared" si="13"/>
        <v>395.34883720930259</v>
      </c>
      <c r="H89" s="3">
        <f t="shared" si="14"/>
        <v>474.41860465116304</v>
      </c>
      <c r="J89">
        <f t="shared" si="22"/>
        <v>85</v>
      </c>
      <c r="K89" s="3">
        <f t="shared" si="15"/>
        <v>1522.0930232558139</v>
      </c>
      <c r="L89" s="3">
        <f t="shared" si="16"/>
        <v>1902.6162790697676</v>
      </c>
      <c r="M89" s="3">
        <f t="shared" si="17"/>
        <v>2283.1395348837209</v>
      </c>
      <c r="O89">
        <f t="shared" si="23"/>
        <v>85</v>
      </c>
      <c r="P89" s="3">
        <f t="shared" si="18"/>
        <v>284.75</v>
      </c>
      <c r="Q89" s="3">
        <f t="shared" si="19"/>
        <v>284.75</v>
      </c>
      <c r="R89" s="3">
        <f t="shared" si="20"/>
        <v>326.16279069767444</v>
      </c>
    </row>
    <row r="90" spans="5:18" x14ac:dyDescent="0.25">
      <c r="E90">
        <f t="shared" si="21"/>
        <v>86</v>
      </c>
      <c r="F90" s="3">
        <f t="shared" si="12"/>
        <v>320.00000000000017</v>
      </c>
      <c r="G90" s="3">
        <f t="shared" si="13"/>
        <v>400.00000000000023</v>
      </c>
      <c r="H90" s="3">
        <f t="shared" si="14"/>
        <v>480.00000000000023</v>
      </c>
      <c r="J90">
        <f t="shared" si="22"/>
        <v>86</v>
      </c>
      <c r="K90" s="3">
        <f t="shared" si="15"/>
        <v>1540</v>
      </c>
      <c r="L90" s="3">
        <f t="shared" si="16"/>
        <v>1925.0000000000002</v>
      </c>
      <c r="M90" s="3">
        <f t="shared" si="17"/>
        <v>2310</v>
      </c>
      <c r="O90">
        <f t="shared" si="23"/>
        <v>86</v>
      </c>
      <c r="P90" s="3">
        <f t="shared" si="18"/>
        <v>288.10000000000002</v>
      </c>
      <c r="Q90" s="3">
        <f t="shared" si="19"/>
        <v>288.10000000000002</v>
      </c>
      <c r="R90" s="3">
        <f t="shared" si="20"/>
        <v>330</v>
      </c>
    </row>
    <row r="91" spans="5:18" x14ac:dyDescent="0.25">
      <c r="E91">
        <f t="shared" si="21"/>
        <v>87</v>
      </c>
      <c r="F91" s="3">
        <f t="shared" si="12"/>
        <v>323.72093023255832</v>
      </c>
      <c r="G91" s="3">
        <f t="shared" si="13"/>
        <v>404.65116279069792</v>
      </c>
      <c r="H91" s="3">
        <f t="shared" si="14"/>
        <v>485.58139534883748</v>
      </c>
      <c r="J91">
        <f t="shared" si="22"/>
        <v>87</v>
      </c>
      <c r="K91" s="3">
        <f t="shared" si="15"/>
        <v>1557.9069767441861</v>
      </c>
      <c r="L91" s="3">
        <f t="shared" si="16"/>
        <v>1947.3837209302326</v>
      </c>
      <c r="M91" s="3">
        <f t="shared" si="17"/>
        <v>2336.8604651162791</v>
      </c>
      <c r="O91">
        <f t="shared" si="23"/>
        <v>87</v>
      </c>
      <c r="P91" s="3">
        <f t="shared" si="18"/>
        <v>291.45</v>
      </c>
      <c r="Q91" s="3">
        <f t="shared" si="19"/>
        <v>291.45</v>
      </c>
      <c r="R91" s="3">
        <f t="shared" si="20"/>
        <v>333.83720930232562</v>
      </c>
    </row>
    <row r="92" spans="5:18" x14ac:dyDescent="0.25">
      <c r="E92">
        <f t="shared" si="21"/>
        <v>88</v>
      </c>
      <c r="F92" s="3">
        <f t="shared" si="12"/>
        <v>327.44186046511646</v>
      </c>
      <c r="G92" s="3">
        <f t="shared" si="13"/>
        <v>409.30232558139562</v>
      </c>
      <c r="H92" s="3">
        <f t="shared" si="14"/>
        <v>491.16279069767467</v>
      </c>
      <c r="J92">
        <f t="shared" si="22"/>
        <v>88</v>
      </c>
      <c r="K92" s="3">
        <f t="shared" si="15"/>
        <v>1575.8139534883721</v>
      </c>
      <c r="L92" s="3">
        <f t="shared" si="16"/>
        <v>1969.7674418604652</v>
      </c>
      <c r="M92" s="3">
        <f t="shared" si="17"/>
        <v>2363.7209302325582</v>
      </c>
      <c r="O92">
        <f t="shared" si="23"/>
        <v>88</v>
      </c>
      <c r="P92" s="3">
        <f t="shared" si="18"/>
        <v>294.8</v>
      </c>
      <c r="Q92" s="3">
        <f t="shared" si="19"/>
        <v>294.8</v>
      </c>
      <c r="R92" s="3">
        <f t="shared" si="20"/>
        <v>337.67441860465118</v>
      </c>
    </row>
    <row r="93" spans="5:18" x14ac:dyDescent="0.25">
      <c r="E93">
        <f t="shared" si="21"/>
        <v>89</v>
      </c>
      <c r="F93" s="3">
        <f t="shared" si="12"/>
        <v>331.16279069767461</v>
      </c>
      <c r="G93" s="3">
        <f t="shared" si="13"/>
        <v>413.95348837209326</v>
      </c>
      <c r="H93" s="3">
        <f t="shared" si="14"/>
        <v>496.74418604651186</v>
      </c>
      <c r="J93">
        <f t="shared" si="22"/>
        <v>89</v>
      </c>
      <c r="K93" s="3">
        <f t="shared" si="15"/>
        <v>1593.7209302325582</v>
      </c>
      <c r="L93" s="3">
        <f t="shared" si="16"/>
        <v>1992.1511627906978</v>
      </c>
      <c r="M93" s="3">
        <f t="shared" si="17"/>
        <v>2390.5813953488373</v>
      </c>
      <c r="O93">
        <f t="shared" si="23"/>
        <v>89</v>
      </c>
      <c r="P93" s="3">
        <f t="shared" si="18"/>
        <v>298.15000000000003</v>
      </c>
      <c r="Q93" s="3">
        <f t="shared" si="19"/>
        <v>298.15000000000003</v>
      </c>
      <c r="R93" s="3">
        <f t="shared" si="20"/>
        <v>341.51162790697674</v>
      </c>
    </row>
    <row r="94" spans="5:18" x14ac:dyDescent="0.25">
      <c r="E94">
        <f t="shared" si="21"/>
        <v>90</v>
      </c>
      <c r="F94" s="3">
        <f t="shared" si="12"/>
        <v>334.88372093023276</v>
      </c>
      <c r="G94" s="3">
        <f t="shared" si="13"/>
        <v>418.60465116279096</v>
      </c>
      <c r="H94" s="3">
        <f t="shared" si="14"/>
        <v>502.3255813953491</v>
      </c>
      <c r="J94">
        <f t="shared" si="22"/>
        <v>90</v>
      </c>
      <c r="K94" s="3">
        <f t="shared" si="15"/>
        <v>1611.6279069767443</v>
      </c>
      <c r="L94" s="3">
        <f t="shared" si="16"/>
        <v>2014.5348837209303</v>
      </c>
      <c r="M94" s="3">
        <f t="shared" si="17"/>
        <v>2417.4418604651164</v>
      </c>
      <c r="O94">
        <f t="shared" si="23"/>
        <v>90</v>
      </c>
      <c r="P94" s="3">
        <f t="shared" si="18"/>
        <v>301.5</v>
      </c>
      <c r="Q94" s="3">
        <f t="shared" si="19"/>
        <v>301.5</v>
      </c>
      <c r="R94" s="3">
        <f t="shared" si="20"/>
        <v>345.34883720930236</v>
      </c>
    </row>
    <row r="95" spans="5:18" x14ac:dyDescent="0.25">
      <c r="E95">
        <f t="shared" si="21"/>
        <v>91</v>
      </c>
      <c r="F95" s="3">
        <f t="shared" si="12"/>
        <v>338.6046511627909</v>
      </c>
      <c r="G95" s="3">
        <f t="shared" si="13"/>
        <v>423.25581395348865</v>
      </c>
      <c r="H95" s="3">
        <f t="shared" si="14"/>
        <v>507.9069767441863</v>
      </c>
      <c r="J95">
        <f t="shared" si="22"/>
        <v>91</v>
      </c>
      <c r="K95" s="3">
        <f t="shared" si="15"/>
        <v>1629.5348837209301</v>
      </c>
      <c r="L95" s="3">
        <f t="shared" si="16"/>
        <v>2036.9186046511629</v>
      </c>
      <c r="M95" s="3">
        <f t="shared" si="17"/>
        <v>2444.3023255813955</v>
      </c>
      <c r="O95">
        <f t="shared" si="23"/>
        <v>91</v>
      </c>
      <c r="P95" s="3">
        <f t="shared" si="18"/>
        <v>304.85000000000002</v>
      </c>
      <c r="Q95" s="3">
        <f t="shared" si="19"/>
        <v>304.85000000000002</v>
      </c>
      <c r="R95" s="3">
        <f t="shared" si="20"/>
        <v>349.18604651162792</v>
      </c>
    </row>
    <row r="96" spans="5:18" x14ac:dyDescent="0.25">
      <c r="E96">
        <f t="shared" si="21"/>
        <v>92</v>
      </c>
      <c r="F96" s="3">
        <f t="shared" si="12"/>
        <v>342.32558139534905</v>
      </c>
      <c r="G96" s="3">
        <f t="shared" si="13"/>
        <v>427.9069767441863</v>
      </c>
      <c r="H96" s="3">
        <f t="shared" si="14"/>
        <v>513.48837209302349</v>
      </c>
      <c r="J96">
        <f t="shared" si="22"/>
        <v>92</v>
      </c>
      <c r="K96" s="3">
        <f t="shared" si="15"/>
        <v>1647.4418604651162</v>
      </c>
      <c r="L96" s="3">
        <f t="shared" si="16"/>
        <v>2059.3023255813955</v>
      </c>
      <c r="M96" s="3">
        <f t="shared" si="17"/>
        <v>2471.1627906976746</v>
      </c>
      <c r="O96">
        <f t="shared" si="23"/>
        <v>92</v>
      </c>
      <c r="P96" s="3">
        <f t="shared" si="18"/>
        <v>308.2</v>
      </c>
      <c r="Q96" s="3">
        <f t="shared" si="19"/>
        <v>308.2</v>
      </c>
      <c r="R96" s="3">
        <f t="shared" si="20"/>
        <v>353.02325581395348</v>
      </c>
    </row>
    <row r="97" spans="5:18" x14ac:dyDescent="0.25">
      <c r="E97">
        <f t="shared" si="21"/>
        <v>93</v>
      </c>
      <c r="F97" s="3">
        <f t="shared" si="12"/>
        <v>346.04651162790719</v>
      </c>
      <c r="G97" s="3">
        <f t="shared" si="13"/>
        <v>432.55813953488399</v>
      </c>
      <c r="H97" s="3">
        <f t="shared" si="14"/>
        <v>519.06976744186068</v>
      </c>
      <c r="J97">
        <f t="shared" si="22"/>
        <v>93</v>
      </c>
      <c r="K97" s="3">
        <f t="shared" si="15"/>
        <v>1665.3488372093022</v>
      </c>
      <c r="L97" s="3">
        <f t="shared" si="16"/>
        <v>2081.6860465116279</v>
      </c>
      <c r="M97" s="3">
        <f t="shared" si="17"/>
        <v>2498.0232558139533</v>
      </c>
      <c r="O97">
        <f t="shared" si="23"/>
        <v>93</v>
      </c>
      <c r="P97" s="3">
        <f t="shared" si="18"/>
        <v>311.55</v>
      </c>
      <c r="Q97" s="3">
        <f t="shared" si="19"/>
        <v>311.55</v>
      </c>
      <c r="R97" s="3">
        <f t="shared" si="20"/>
        <v>356.8604651162791</v>
      </c>
    </row>
    <row r="98" spans="5:18" x14ac:dyDescent="0.25">
      <c r="E98">
        <f t="shared" si="21"/>
        <v>94</v>
      </c>
      <c r="F98" s="3">
        <f t="shared" si="12"/>
        <v>349.76744186046534</v>
      </c>
      <c r="G98" s="3">
        <f t="shared" si="13"/>
        <v>437.20930232558169</v>
      </c>
      <c r="H98" s="3">
        <f t="shared" si="14"/>
        <v>524.65116279069798</v>
      </c>
      <c r="J98">
        <f t="shared" si="22"/>
        <v>94</v>
      </c>
      <c r="K98" s="3">
        <f t="shared" si="15"/>
        <v>1683.2558139534883</v>
      </c>
      <c r="L98" s="3">
        <f t="shared" si="16"/>
        <v>2104.0697674418607</v>
      </c>
      <c r="M98" s="3">
        <f t="shared" si="17"/>
        <v>2524.8837209302324</v>
      </c>
      <c r="O98">
        <f t="shared" si="23"/>
        <v>94</v>
      </c>
      <c r="P98" s="3">
        <f t="shared" si="18"/>
        <v>314.90000000000003</v>
      </c>
      <c r="Q98" s="3">
        <f t="shared" si="19"/>
        <v>314.90000000000003</v>
      </c>
      <c r="R98" s="3">
        <f t="shared" si="20"/>
        <v>360.69767441860466</v>
      </c>
    </row>
    <row r="99" spans="5:18" x14ac:dyDescent="0.25">
      <c r="E99">
        <f t="shared" si="21"/>
        <v>95</v>
      </c>
      <c r="F99" s="3">
        <f t="shared" si="12"/>
        <v>353.48837209302349</v>
      </c>
      <c r="G99" s="3">
        <f t="shared" si="13"/>
        <v>441.86046511627933</v>
      </c>
      <c r="H99" s="3">
        <f t="shared" si="14"/>
        <v>530.23255813953517</v>
      </c>
      <c r="J99">
        <f t="shared" si="22"/>
        <v>95</v>
      </c>
      <c r="K99" s="3">
        <f t="shared" si="15"/>
        <v>1701.1627906976744</v>
      </c>
      <c r="L99" s="3">
        <f t="shared" si="16"/>
        <v>2126.453488372093</v>
      </c>
      <c r="M99" s="3">
        <f t="shared" si="17"/>
        <v>2551.7441860465115</v>
      </c>
      <c r="O99">
        <f t="shared" si="23"/>
        <v>95</v>
      </c>
      <c r="P99" s="3">
        <f t="shared" si="18"/>
        <v>318.25</v>
      </c>
      <c r="Q99" s="3">
        <f t="shared" si="19"/>
        <v>318.25</v>
      </c>
      <c r="R99" s="3">
        <f t="shared" si="20"/>
        <v>364.53488372093022</v>
      </c>
    </row>
    <row r="100" spans="5:18" x14ac:dyDescent="0.25">
      <c r="E100">
        <f t="shared" si="21"/>
        <v>96</v>
      </c>
      <c r="F100" s="3">
        <f t="shared" si="12"/>
        <v>357.20930232558158</v>
      </c>
      <c r="G100" s="3">
        <f t="shared" si="13"/>
        <v>446.51162790697703</v>
      </c>
      <c r="H100" s="3">
        <f t="shared" si="14"/>
        <v>535.81395348837236</v>
      </c>
      <c r="J100">
        <f t="shared" si="22"/>
        <v>96</v>
      </c>
      <c r="K100" s="3">
        <f t="shared" si="15"/>
        <v>1719.0697674418604</v>
      </c>
      <c r="L100" s="3">
        <f t="shared" si="16"/>
        <v>2148.8372093023258</v>
      </c>
      <c r="M100" s="3">
        <f t="shared" si="17"/>
        <v>2578.6046511627906</v>
      </c>
      <c r="O100">
        <f t="shared" si="23"/>
        <v>96</v>
      </c>
      <c r="P100" s="3">
        <f t="shared" si="18"/>
        <v>321.60000000000002</v>
      </c>
      <c r="Q100" s="3">
        <f t="shared" si="19"/>
        <v>321.60000000000002</v>
      </c>
      <c r="R100" s="3">
        <f t="shared" si="20"/>
        <v>368.37209302325584</v>
      </c>
    </row>
    <row r="101" spans="5:18" x14ac:dyDescent="0.25">
      <c r="E101">
        <f t="shared" si="21"/>
        <v>97</v>
      </c>
      <c r="F101" s="3">
        <f t="shared" si="12"/>
        <v>360.93023255813972</v>
      </c>
      <c r="G101" s="3">
        <f t="shared" si="13"/>
        <v>451.16279069767472</v>
      </c>
      <c r="H101" s="3">
        <f t="shared" si="14"/>
        <v>541.39534883720955</v>
      </c>
      <c r="J101">
        <f t="shared" si="22"/>
        <v>97</v>
      </c>
      <c r="K101" s="3">
        <f t="shared" si="15"/>
        <v>1736.9767441860465</v>
      </c>
      <c r="L101" s="3">
        <f t="shared" si="16"/>
        <v>2171.2209302325582</v>
      </c>
      <c r="M101" s="3">
        <f t="shared" si="17"/>
        <v>2605.4651162790697</v>
      </c>
      <c r="O101">
        <f t="shared" si="23"/>
        <v>97</v>
      </c>
      <c r="P101" s="3">
        <f t="shared" si="18"/>
        <v>324.95</v>
      </c>
      <c r="Q101" s="3">
        <f t="shared" si="19"/>
        <v>324.95</v>
      </c>
      <c r="R101" s="3">
        <f t="shared" si="20"/>
        <v>372.2093023255814</v>
      </c>
    </row>
    <row r="102" spans="5:18" x14ac:dyDescent="0.25">
      <c r="E102">
        <f t="shared" si="21"/>
        <v>98</v>
      </c>
      <c r="F102" s="3">
        <f t="shared" si="12"/>
        <v>364.65116279069787</v>
      </c>
      <c r="G102" s="3">
        <f t="shared" si="13"/>
        <v>455.81395348837236</v>
      </c>
      <c r="H102" s="3">
        <f t="shared" si="14"/>
        <v>546.97674418604674</v>
      </c>
      <c r="J102">
        <f t="shared" si="22"/>
        <v>98</v>
      </c>
      <c r="K102" s="3">
        <f t="shared" si="15"/>
        <v>1754.8837209302326</v>
      </c>
      <c r="L102" s="3">
        <f t="shared" si="16"/>
        <v>2193.604651162791</v>
      </c>
      <c r="M102" s="3">
        <f t="shared" si="17"/>
        <v>2632.3255813953488</v>
      </c>
      <c r="O102">
        <f t="shared" si="23"/>
        <v>98</v>
      </c>
      <c r="P102" s="3">
        <f t="shared" si="18"/>
        <v>328.3</v>
      </c>
      <c r="Q102" s="3">
        <f t="shared" si="19"/>
        <v>328.3</v>
      </c>
      <c r="R102" s="3">
        <f t="shared" si="20"/>
        <v>376.04651162790697</v>
      </c>
    </row>
    <row r="103" spans="5:18" x14ac:dyDescent="0.25">
      <c r="E103">
        <f t="shared" si="21"/>
        <v>99</v>
      </c>
      <c r="F103" s="3">
        <f t="shared" si="12"/>
        <v>368.37209302325601</v>
      </c>
      <c r="G103" s="3">
        <f t="shared" si="13"/>
        <v>460.46511627907006</v>
      </c>
      <c r="H103" s="3">
        <f t="shared" si="14"/>
        <v>552.55813953488405</v>
      </c>
      <c r="J103">
        <f t="shared" si="22"/>
        <v>99</v>
      </c>
      <c r="K103" s="3">
        <f t="shared" si="15"/>
        <v>1772.7906976744187</v>
      </c>
      <c r="L103" s="3">
        <f t="shared" si="16"/>
        <v>2215.9883720930234</v>
      </c>
      <c r="M103" s="3">
        <f t="shared" si="17"/>
        <v>2659.1860465116279</v>
      </c>
      <c r="O103">
        <f t="shared" si="23"/>
        <v>99</v>
      </c>
      <c r="P103" s="3">
        <f t="shared" si="18"/>
        <v>331.65000000000003</v>
      </c>
      <c r="Q103" s="3">
        <f t="shared" si="19"/>
        <v>331.65000000000003</v>
      </c>
      <c r="R103" s="3">
        <f t="shared" si="20"/>
        <v>379.88372093023258</v>
      </c>
    </row>
    <row r="104" spans="5:18" x14ac:dyDescent="0.25">
      <c r="E104">
        <f t="shared" si="21"/>
        <v>100</v>
      </c>
      <c r="F104" s="3">
        <f t="shared" si="12"/>
        <v>372.09302325581416</v>
      </c>
      <c r="G104" s="3">
        <f t="shared" si="13"/>
        <v>465.11627906976776</v>
      </c>
      <c r="H104" s="3">
        <f t="shared" si="14"/>
        <v>558.13953488372124</v>
      </c>
      <c r="J104">
        <f t="shared" si="22"/>
        <v>100</v>
      </c>
      <c r="K104" s="3">
        <f t="shared" si="15"/>
        <v>1790.6976744186047</v>
      </c>
      <c r="L104" s="3">
        <f t="shared" si="16"/>
        <v>2238.3720930232562</v>
      </c>
      <c r="M104" s="3">
        <f t="shared" si="17"/>
        <v>2686.046511627907</v>
      </c>
      <c r="O104">
        <f t="shared" si="23"/>
        <v>100</v>
      </c>
      <c r="P104" s="3">
        <f t="shared" si="18"/>
        <v>335</v>
      </c>
      <c r="Q104" s="3">
        <f t="shared" si="19"/>
        <v>335</v>
      </c>
      <c r="R104" s="3">
        <f t="shared" si="20"/>
        <v>383.72093023255815</v>
      </c>
    </row>
    <row r="105" spans="5:18" x14ac:dyDescent="0.25">
      <c r="E105">
        <f t="shared" si="21"/>
        <v>101</v>
      </c>
      <c r="F105" s="3">
        <f t="shared" si="12"/>
        <v>375.81395348837231</v>
      </c>
      <c r="G105" s="3">
        <f t="shared" si="13"/>
        <v>469.7674418604654</v>
      </c>
      <c r="H105" s="3">
        <f t="shared" si="14"/>
        <v>563.72093023255843</v>
      </c>
      <c r="J105">
        <f t="shared" si="22"/>
        <v>101</v>
      </c>
      <c r="K105" s="3">
        <f t="shared" si="15"/>
        <v>1808.6046511627908</v>
      </c>
      <c r="L105" s="3">
        <f t="shared" si="16"/>
        <v>2260.7558139534885</v>
      </c>
      <c r="M105" s="3">
        <f t="shared" si="17"/>
        <v>2712.9069767441861</v>
      </c>
      <c r="O105">
        <f t="shared" si="23"/>
        <v>101</v>
      </c>
      <c r="P105" s="3">
        <f t="shared" si="18"/>
        <v>338.35</v>
      </c>
      <c r="Q105" s="3">
        <f t="shared" si="19"/>
        <v>338.35</v>
      </c>
      <c r="R105" s="3">
        <f t="shared" si="20"/>
        <v>387.55813953488376</v>
      </c>
    </row>
    <row r="106" spans="5:18" x14ac:dyDescent="0.25">
      <c r="E106">
        <f t="shared" si="21"/>
        <v>102</v>
      </c>
      <c r="F106" s="3">
        <f t="shared" si="12"/>
        <v>379.53488372093045</v>
      </c>
      <c r="G106" s="3">
        <f t="shared" si="13"/>
        <v>474.41860465116309</v>
      </c>
      <c r="H106" s="3">
        <f t="shared" si="14"/>
        <v>569.30232558139562</v>
      </c>
      <c r="J106">
        <f t="shared" si="22"/>
        <v>102</v>
      </c>
      <c r="K106" s="3">
        <f t="shared" si="15"/>
        <v>1826.5116279069766</v>
      </c>
      <c r="L106" s="3">
        <f t="shared" si="16"/>
        <v>2283.1395348837209</v>
      </c>
      <c r="M106" s="3">
        <f t="shared" si="17"/>
        <v>2739.7674418604652</v>
      </c>
      <c r="O106">
        <f t="shared" si="23"/>
        <v>102</v>
      </c>
      <c r="P106" s="3">
        <f t="shared" si="18"/>
        <v>341.7</v>
      </c>
      <c r="Q106" s="3">
        <f t="shared" si="19"/>
        <v>341.7</v>
      </c>
      <c r="R106" s="3">
        <f t="shared" si="20"/>
        <v>391.39534883720933</v>
      </c>
    </row>
    <row r="107" spans="5:18" x14ac:dyDescent="0.25">
      <c r="E107">
        <f t="shared" si="21"/>
        <v>103</v>
      </c>
      <c r="F107" s="3">
        <f t="shared" si="12"/>
        <v>383.2558139534886</v>
      </c>
      <c r="G107" s="3">
        <f t="shared" si="13"/>
        <v>479.06976744186079</v>
      </c>
      <c r="H107" s="3">
        <f t="shared" si="14"/>
        <v>574.88372093023281</v>
      </c>
      <c r="J107">
        <f t="shared" si="22"/>
        <v>103</v>
      </c>
      <c r="K107" s="3">
        <f t="shared" si="15"/>
        <v>1844.4186046511627</v>
      </c>
      <c r="L107" s="3">
        <f t="shared" si="16"/>
        <v>2305.5232558139537</v>
      </c>
      <c r="M107" s="3">
        <f t="shared" si="17"/>
        <v>2766.6279069767443</v>
      </c>
      <c r="O107">
        <f t="shared" si="23"/>
        <v>103</v>
      </c>
      <c r="P107" s="3">
        <f t="shared" si="18"/>
        <v>345.05</v>
      </c>
      <c r="Q107" s="3">
        <f t="shared" si="19"/>
        <v>345.05</v>
      </c>
      <c r="R107" s="3">
        <f t="shared" si="20"/>
        <v>395.23255813953489</v>
      </c>
    </row>
    <row r="108" spans="5:18" x14ac:dyDescent="0.25">
      <c r="E108">
        <f t="shared" si="21"/>
        <v>104</v>
      </c>
      <c r="F108" s="3">
        <f t="shared" si="12"/>
        <v>386.97674418604674</v>
      </c>
      <c r="G108" s="3">
        <f t="shared" si="13"/>
        <v>483.72093023255843</v>
      </c>
      <c r="H108" s="3">
        <f t="shared" si="14"/>
        <v>580.46511627907012</v>
      </c>
      <c r="J108">
        <f t="shared" si="22"/>
        <v>104</v>
      </c>
      <c r="K108" s="3">
        <f t="shared" si="15"/>
        <v>1862.3255813953488</v>
      </c>
      <c r="L108" s="3">
        <f t="shared" si="16"/>
        <v>2327.9069767441861</v>
      </c>
      <c r="M108" s="3">
        <f t="shared" si="17"/>
        <v>2793.4883720930234</v>
      </c>
      <c r="O108">
        <f t="shared" si="23"/>
        <v>104</v>
      </c>
      <c r="P108" s="3">
        <f t="shared" si="18"/>
        <v>348.40000000000003</v>
      </c>
      <c r="Q108" s="3">
        <f t="shared" si="19"/>
        <v>348.40000000000003</v>
      </c>
      <c r="R108" s="3">
        <f t="shared" si="20"/>
        <v>399.06976744186051</v>
      </c>
    </row>
    <row r="109" spans="5:18" x14ac:dyDescent="0.25">
      <c r="E109">
        <f t="shared" si="21"/>
        <v>105</v>
      </c>
      <c r="F109" s="3">
        <f t="shared" si="12"/>
        <v>390.69767441860489</v>
      </c>
      <c r="G109" s="3">
        <f t="shared" si="13"/>
        <v>488.37209302325613</v>
      </c>
      <c r="H109" s="3">
        <f t="shared" si="14"/>
        <v>586.04651162790731</v>
      </c>
      <c r="J109">
        <f t="shared" si="22"/>
        <v>105</v>
      </c>
      <c r="K109" s="3">
        <f t="shared" si="15"/>
        <v>1880.2325581395348</v>
      </c>
      <c r="L109" s="3">
        <f t="shared" si="16"/>
        <v>2350.2906976744189</v>
      </c>
      <c r="M109" s="3">
        <f t="shared" si="17"/>
        <v>2820.3488372093025</v>
      </c>
      <c r="O109">
        <f t="shared" si="23"/>
        <v>105</v>
      </c>
      <c r="P109" s="3">
        <f t="shared" si="18"/>
        <v>351.75</v>
      </c>
      <c r="Q109" s="3">
        <f t="shared" si="19"/>
        <v>351.75</v>
      </c>
      <c r="R109" s="3">
        <f t="shared" si="20"/>
        <v>402.90697674418607</v>
      </c>
    </row>
    <row r="110" spans="5:18" x14ac:dyDescent="0.25">
      <c r="E110">
        <f t="shared" si="21"/>
        <v>106</v>
      </c>
      <c r="F110" s="3">
        <f t="shared" si="12"/>
        <v>394.41860465116304</v>
      </c>
      <c r="G110" s="3">
        <f t="shared" si="13"/>
        <v>493.02325581395382</v>
      </c>
      <c r="H110" s="3">
        <f t="shared" si="14"/>
        <v>591.6279069767445</v>
      </c>
      <c r="J110">
        <f t="shared" si="22"/>
        <v>106</v>
      </c>
      <c r="K110" s="3">
        <f t="shared" si="15"/>
        <v>1898.1395348837209</v>
      </c>
      <c r="L110" s="3">
        <f t="shared" si="16"/>
        <v>2372.6744186046512</v>
      </c>
      <c r="M110" s="3">
        <f t="shared" si="17"/>
        <v>2847.2093023255816</v>
      </c>
      <c r="O110">
        <f t="shared" si="23"/>
        <v>106</v>
      </c>
      <c r="P110" s="3">
        <f t="shared" si="18"/>
        <v>355.1</v>
      </c>
      <c r="Q110" s="3">
        <f t="shared" si="19"/>
        <v>355.1</v>
      </c>
      <c r="R110" s="3">
        <f t="shared" si="20"/>
        <v>406.74418604651163</v>
      </c>
    </row>
    <row r="111" spans="5:18" x14ac:dyDescent="0.25">
      <c r="E111">
        <f t="shared" si="21"/>
        <v>107</v>
      </c>
      <c r="F111" s="3">
        <f t="shared" si="12"/>
        <v>398.13953488372118</v>
      </c>
      <c r="G111" s="3">
        <f t="shared" si="13"/>
        <v>497.67441860465146</v>
      </c>
      <c r="H111" s="3">
        <f t="shared" si="14"/>
        <v>597.20930232558169</v>
      </c>
      <c r="J111">
        <f t="shared" si="22"/>
        <v>107</v>
      </c>
      <c r="K111" s="3">
        <f t="shared" si="15"/>
        <v>1916.046511627907</v>
      </c>
      <c r="L111" s="3">
        <f t="shared" si="16"/>
        <v>2395.058139534884</v>
      </c>
      <c r="M111" s="3">
        <f t="shared" si="17"/>
        <v>2874.0697674418602</v>
      </c>
      <c r="O111">
        <f t="shared" si="23"/>
        <v>107</v>
      </c>
      <c r="P111" s="3">
        <f t="shared" si="18"/>
        <v>358.45</v>
      </c>
      <c r="Q111" s="3">
        <f t="shared" si="19"/>
        <v>358.45</v>
      </c>
      <c r="R111" s="3">
        <f t="shared" si="20"/>
        <v>410.58139534883725</v>
      </c>
    </row>
    <row r="112" spans="5:18" x14ac:dyDescent="0.25">
      <c r="E112">
        <f t="shared" si="21"/>
        <v>108</v>
      </c>
      <c r="F112" s="3">
        <f t="shared" si="12"/>
        <v>401.86046511627933</v>
      </c>
      <c r="G112" s="3">
        <f t="shared" si="13"/>
        <v>502.32558139534916</v>
      </c>
      <c r="H112" s="3">
        <f t="shared" si="14"/>
        <v>602.79069767441888</v>
      </c>
      <c r="J112">
        <f t="shared" si="22"/>
        <v>108</v>
      </c>
      <c r="K112" s="3">
        <f t="shared" si="15"/>
        <v>1933.953488372093</v>
      </c>
      <c r="L112" s="3">
        <f t="shared" si="16"/>
        <v>2417.4418604651164</v>
      </c>
      <c r="M112" s="3">
        <f t="shared" si="17"/>
        <v>2900.9302325581393</v>
      </c>
      <c r="O112">
        <f t="shared" si="23"/>
        <v>108</v>
      </c>
      <c r="P112" s="3">
        <f t="shared" si="18"/>
        <v>361.8</v>
      </c>
      <c r="Q112" s="3">
        <f t="shared" si="19"/>
        <v>361.8</v>
      </c>
      <c r="R112" s="3">
        <f t="shared" si="20"/>
        <v>414.41860465116281</v>
      </c>
    </row>
    <row r="113" spans="5:18" x14ac:dyDescent="0.25">
      <c r="E113">
        <f t="shared" si="21"/>
        <v>109</v>
      </c>
      <c r="F113" s="3">
        <f t="shared" si="12"/>
        <v>405.58139534883742</v>
      </c>
      <c r="G113" s="3">
        <f t="shared" si="13"/>
        <v>506.97674418604686</v>
      </c>
      <c r="H113" s="3">
        <f t="shared" si="14"/>
        <v>608.37209302325607</v>
      </c>
      <c r="J113">
        <f t="shared" si="22"/>
        <v>109</v>
      </c>
      <c r="K113" s="3">
        <f t="shared" si="15"/>
        <v>1951.8604651162791</v>
      </c>
      <c r="L113" s="3">
        <f t="shared" si="16"/>
        <v>2439.8255813953492</v>
      </c>
      <c r="M113" s="3">
        <f t="shared" si="17"/>
        <v>2927.7906976744184</v>
      </c>
      <c r="O113">
        <f t="shared" si="23"/>
        <v>109</v>
      </c>
      <c r="P113" s="3">
        <f t="shared" si="18"/>
        <v>365.15000000000003</v>
      </c>
      <c r="Q113" s="3">
        <f t="shared" si="19"/>
        <v>365.15000000000003</v>
      </c>
      <c r="R113" s="3">
        <f t="shared" si="20"/>
        <v>418.25581395348837</v>
      </c>
    </row>
    <row r="114" spans="5:18" x14ac:dyDescent="0.25">
      <c r="E114">
        <f t="shared" si="21"/>
        <v>110</v>
      </c>
      <c r="F114" s="3">
        <f t="shared" si="12"/>
        <v>409.30232558139556</v>
      </c>
      <c r="G114" s="3">
        <f t="shared" si="13"/>
        <v>511.6279069767445</v>
      </c>
      <c r="H114" s="3">
        <f t="shared" si="14"/>
        <v>613.95348837209337</v>
      </c>
      <c r="J114">
        <f t="shared" si="22"/>
        <v>110</v>
      </c>
      <c r="K114" s="3">
        <f t="shared" si="15"/>
        <v>1969.7674418604652</v>
      </c>
      <c r="L114" s="3">
        <f t="shared" si="16"/>
        <v>2462.2093023255816</v>
      </c>
      <c r="M114" s="3">
        <f t="shared" si="17"/>
        <v>2954.6511627906975</v>
      </c>
      <c r="O114">
        <f t="shared" si="23"/>
        <v>110</v>
      </c>
      <c r="P114" s="3">
        <f t="shared" si="18"/>
        <v>368.5</v>
      </c>
      <c r="Q114" s="3">
        <f t="shared" si="19"/>
        <v>368.5</v>
      </c>
      <c r="R114" s="3">
        <f t="shared" si="20"/>
        <v>422.09302325581399</v>
      </c>
    </row>
    <row r="115" spans="5:18" x14ac:dyDescent="0.25">
      <c r="E115">
        <f t="shared" si="21"/>
        <v>111</v>
      </c>
      <c r="F115" s="3">
        <f t="shared" si="12"/>
        <v>413.02325581395371</v>
      </c>
      <c r="G115" s="3">
        <f t="shared" si="13"/>
        <v>516.27906976744214</v>
      </c>
      <c r="H115" s="3">
        <f t="shared" si="14"/>
        <v>619.53488372093057</v>
      </c>
      <c r="J115">
        <f t="shared" si="22"/>
        <v>111</v>
      </c>
      <c r="K115" s="3">
        <f t="shared" si="15"/>
        <v>1987.6744186046512</v>
      </c>
      <c r="L115" s="3">
        <f t="shared" si="16"/>
        <v>2484.5930232558139</v>
      </c>
      <c r="M115" s="3">
        <f t="shared" si="17"/>
        <v>2981.5116279069766</v>
      </c>
      <c r="O115">
        <f t="shared" si="23"/>
        <v>111</v>
      </c>
      <c r="P115" s="3">
        <f t="shared" si="18"/>
        <v>371.85</v>
      </c>
      <c r="Q115" s="3">
        <f t="shared" si="19"/>
        <v>371.85</v>
      </c>
      <c r="R115" s="3">
        <f t="shared" si="20"/>
        <v>425.93023255813955</v>
      </c>
    </row>
    <row r="116" spans="5:18" x14ac:dyDescent="0.25">
      <c r="E116">
        <f t="shared" si="21"/>
        <v>112</v>
      </c>
      <c r="F116" s="3">
        <f t="shared" si="12"/>
        <v>416.74418604651186</v>
      </c>
      <c r="G116" s="3">
        <f t="shared" si="13"/>
        <v>520.93023255813989</v>
      </c>
      <c r="H116" s="3">
        <f t="shared" si="14"/>
        <v>625.11627906976776</v>
      </c>
      <c r="J116">
        <f t="shared" si="22"/>
        <v>112</v>
      </c>
      <c r="K116" s="3">
        <f t="shared" si="15"/>
        <v>2005.5813953488373</v>
      </c>
      <c r="L116" s="3">
        <f t="shared" si="16"/>
        <v>2506.9767441860467</v>
      </c>
      <c r="M116" s="3">
        <f t="shared" si="17"/>
        <v>3008.3720930232557</v>
      </c>
      <c r="O116">
        <f t="shared" si="23"/>
        <v>112</v>
      </c>
      <c r="P116" s="3">
        <f t="shared" si="18"/>
        <v>375.2</v>
      </c>
      <c r="Q116" s="3">
        <f t="shared" si="19"/>
        <v>375.2</v>
      </c>
      <c r="R116" s="3">
        <f t="shared" si="20"/>
        <v>429.76744186046511</v>
      </c>
    </row>
    <row r="117" spans="5:18" x14ac:dyDescent="0.25">
      <c r="E117">
        <f t="shared" si="21"/>
        <v>113</v>
      </c>
      <c r="F117" s="3">
        <f t="shared" si="12"/>
        <v>420.46511627907</v>
      </c>
      <c r="G117" s="3">
        <f t="shared" si="13"/>
        <v>525.58139534883753</v>
      </c>
      <c r="H117" s="3">
        <f t="shared" si="14"/>
        <v>630.69767441860495</v>
      </c>
      <c r="J117">
        <f t="shared" si="22"/>
        <v>113</v>
      </c>
      <c r="K117" s="3">
        <f t="shared" si="15"/>
        <v>2023.4883720930231</v>
      </c>
      <c r="L117" s="3">
        <f t="shared" si="16"/>
        <v>2529.3604651162791</v>
      </c>
      <c r="M117" s="3">
        <f t="shared" si="17"/>
        <v>3035.2325581395348</v>
      </c>
      <c r="O117">
        <f t="shared" si="23"/>
        <v>113</v>
      </c>
      <c r="P117" s="3">
        <f t="shared" si="18"/>
        <v>378.55</v>
      </c>
      <c r="Q117" s="3">
        <f t="shared" si="19"/>
        <v>378.55</v>
      </c>
      <c r="R117" s="3">
        <f t="shared" si="20"/>
        <v>433.60465116279073</v>
      </c>
    </row>
    <row r="118" spans="5:18" x14ac:dyDescent="0.25">
      <c r="E118">
        <f t="shared" si="21"/>
        <v>114</v>
      </c>
      <c r="F118" s="3">
        <f t="shared" si="12"/>
        <v>424.18604651162815</v>
      </c>
      <c r="G118" s="3">
        <f t="shared" si="13"/>
        <v>530.23255813953517</v>
      </c>
      <c r="H118" s="3">
        <f t="shared" si="14"/>
        <v>636.27906976744214</v>
      </c>
      <c r="J118">
        <f t="shared" si="22"/>
        <v>114</v>
      </c>
      <c r="K118" s="3">
        <f t="shared" si="15"/>
        <v>2041.3953488372092</v>
      </c>
      <c r="L118" s="3">
        <f t="shared" si="16"/>
        <v>2551.7441860465119</v>
      </c>
      <c r="M118" s="3">
        <f t="shared" si="17"/>
        <v>3062.0930232558139</v>
      </c>
      <c r="O118">
        <f t="shared" si="23"/>
        <v>114</v>
      </c>
      <c r="P118" s="3">
        <f t="shared" si="18"/>
        <v>381.90000000000003</v>
      </c>
      <c r="Q118" s="3">
        <f t="shared" si="19"/>
        <v>381.90000000000003</v>
      </c>
      <c r="R118" s="3">
        <f t="shared" si="20"/>
        <v>437.44186046511629</v>
      </c>
    </row>
    <row r="119" spans="5:18" x14ac:dyDescent="0.25">
      <c r="E119">
        <f t="shared" si="21"/>
        <v>115</v>
      </c>
      <c r="F119" s="3">
        <f t="shared" si="12"/>
        <v>427.9069767441863</v>
      </c>
      <c r="G119" s="3">
        <f t="shared" si="13"/>
        <v>534.88372093023293</v>
      </c>
      <c r="H119" s="3">
        <f t="shared" si="14"/>
        <v>641.86046511627944</v>
      </c>
      <c r="J119">
        <f t="shared" si="22"/>
        <v>115</v>
      </c>
      <c r="K119" s="3">
        <f t="shared" si="15"/>
        <v>2059.3023255813955</v>
      </c>
      <c r="L119" s="3">
        <f t="shared" si="16"/>
        <v>2574.1279069767443</v>
      </c>
      <c r="M119" s="3">
        <f t="shared" si="17"/>
        <v>3088.953488372093</v>
      </c>
      <c r="O119">
        <f t="shared" si="23"/>
        <v>115</v>
      </c>
      <c r="P119" s="3">
        <f t="shared" si="18"/>
        <v>385.25</v>
      </c>
      <c r="Q119" s="3">
        <f t="shared" si="19"/>
        <v>385.25</v>
      </c>
      <c r="R119" s="3">
        <f t="shared" si="20"/>
        <v>441.27906976744185</v>
      </c>
    </row>
    <row r="120" spans="5:18" x14ac:dyDescent="0.25">
      <c r="E120">
        <f t="shared" si="21"/>
        <v>116</v>
      </c>
      <c r="F120" s="3">
        <f t="shared" si="12"/>
        <v>431.62790697674444</v>
      </c>
      <c r="G120" s="3">
        <f t="shared" si="13"/>
        <v>539.53488372093057</v>
      </c>
      <c r="H120" s="3">
        <f t="shared" si="14"/>
        <v>647.44186046511663</v>
      </c>
      <c r="J120">
        <f t="shared" si="22"/>
        <v>116</v>
      </c>
      <c r="K120" s="3">
        <f t="shared" si="15"/>
        <v>2077.2093023255816</v>
      </c>
      <c r="L120" s="3">
        <f t="shared" si="16"/>
        <v>2596.5116279069771</v>
      </c>
      <c r="M120" s="3">
        <f t="shared" si="17"/>
        <v>3115.8139534883721</v>
      </c>
      <c r="O120">
        <f t="shared" si="23"/>
        <v>116</v>
      </c>
      <c r="P120" s="3">
        <f t="shared" si="18"/>
        <v>388.6</v>
      </c>
      <c r="Q120" s="3">
        <f t="shared" si="19"/>
        <v>388.6</v>
      </c>
      <c r="R120" s="3">
        <f t="shared" si="20"/>
        <v>445.11627906976747</v>
      </c>
    </row>
    <row r="121" spans="5:18" x14ac:dyDescent="0.25">
      <c r="E121">
        <f t="shared" si="21"/>
        <v>117</v>
      </c>
      <c r="F121" s="3">
        <f t="shared" si="12"/>
        <v>435.34883720930259</v>
      </c>
      <c r="G121" s="3">
        <f t="shared" si="13"/>
        <v>544.18604651162821</v>
      </c>
      <c r="H121" s="3">
        <f t="shared" si="14"/>
        <v>653.02325581395382</v>
      </c>
      <c r="J121">
        <f t="shared" si="22"/>
        <v>117</v>
      </c>
      <c r="K121" s="3">
        <f t="shared" si="15"/>
        <v>2095.1162790697676</v>
      </c>
      <c r="L121" s="3">
        <f t="shared" si="16"/>
        <v>2618.8953488372094</v>
      </c>
      <c r="M121" s="3">
        <f t="shared" si="17"/>
        <v>3142.6744186046512</v>
      </c>
      <c r="O121">
        <f t="shared" si="23"/>
        <v>117</v>
      </c>
      <c r="P121" s="3">
        <f t="shared" si="18"/>
        <v>391.95</v>
      </c>
      <c r="Q121" s="3">
        <f t="shared" si="19"/>
        <v>391.95</v>
      </c>
      <c r="R121" s="3">
        <f t="shared" si="20"/>
        <v>448.95348837209303</v>
      </c>
    </row>
    <row r="122" spans="5:18" x14ac:dyDescent="0.25">
      <c r="E122">
        <f t="shared" si="21"/>
        <v>118</v>
      </c>
      <c r="F122" s="3">
        <f t="shared" si="12"/>
        <v>439.06976744186073</v>
      </c>
      <c r="G122" s="3">
        <f t="shared" si="13"/>
        <v>548.83720930232596</v>
      </c>
      <c r="H122" s="3">
        <f t="shared" si="14"/>
        <v>658.60465116279101</v>
      </c>
      <c r="J122">
        <f t="shared" si="22"/>
        <v>118</v>
      </c>
      <c r="K122" s="3">
        <f t="shared" si="15"/>
        <v>2113.0232558139533</v>
      </c>
      <c r="L122" s="3">
        <f t="shared" si="16"/>
        <v>2641.2790697674423</v>
      </c>
      <c r="M122" s="3">
        <f t="shared" si="17"/>
        <v>3169.5348837209303</v>
      </c>
      <c r="O122">
        <f t="shared" si="23"/>
        <v>118</v>
      </c>
      <c r="P122" s="3">
        <f t="shared" si="18"/>
        <v>395.3</v>
      </c>
      <c r="Q122" s="3">
        <f t="shared" si="19"/>
        <v>395.3</v>
      </c>
      <c r="R122" s="3">
        <f t="shared" si="20"/>
        <v>452.7906976744186</v>
      </c>
    </row>
    <row r="123" spans="5:18" x14ac:dyDescent="0.25">
      <c r="E123">
        <f t="shared" si="21"/>
        <v>119</v>
      </c>
      <c r="F123" s="3">
        <f t="shared" si="12"/>
        <v>442.79069767441888</v>
      </c>
      <c r="G123" s="3">
        <f t="shared" si="13"/>
        <v>553.4883720930236</v>
      </c>
      <c r="H123" s="3">
        <f t="shared" si="14"/>
        <v>664.18604651162821</v>
      </c>
      <c r="J123">
        <f t="shared" si="22"/>
        <v>119</v>
      </c>
      <c r="K123" s="3">
        <f t="shared" si="15"/>
        <v>2130.9302325581393</v>
      </c>
      <c r="L123" s="3">
        <f t="shared" si="16"/>
        <v>2663.6627906976746</v>
      </c>
      <c r="M123" s="3">
        <f t="shared" si="17"/>
        <v>3196.3953488372094</v>
      </c>
      <c r="O123">
        <f t="shared" si="23"/>
        <v>119</v>
      </c>
      <c r="P123" s="3">
        <f t="shared" si="18"/>
        <v>398.65000000000003</v>
      </c>
      <c r="Q123" s="3">
        <f t="shared" si="19"/>
        <v>398.65000000000003</v>
      </c>
      <c r="R123" s="3">
        <f t="shared" si="20"/>
        <v>456.62790697674421</v>
      </c>
    </row>
    <row r="124" spans="5:18" x14ac:dyDescent="0.25">
      <c r="E124">
        <f t="shared" si="21"/>
        <v>120</v>
      </c>
      <c r="F124" s="3">
        <f t="shared" si="12"/>
        <v>446.51162790697703</v>
      </c>
      <c r="G124" s="3">
        <f t="shared" si="13"/>
        <v>558.13953488372124</v>
      </c>
      <c r="H124" s="3">
        <f t="shared" si="14"/>
        <v>669.7674418604654</v>
      </c>
      <c r="J124">
        <f t="shared" si="22"/>
        <v>120</v>
      </c>
      <c r="K124" s="3">
        <f t="shared" si="15"/>
        <v>2148.8372093023254</v>
      </c>
      <c r="L124" s="3">
        <f t="shared" si="16"/>
        <v>2686.046511627907</v>
      </c>
      <c r="M124" s="3">
        <f t="shared" si="17"/>
        <v>3223.2558139534885</v>
      </c>
      <c r="O124">
        <f t="shared" si="23"/>
        <v>120</v>
      </c>
      <c r="P124" s="3">
        <f t="shared" si="18"/>
        <v>402</v>
      </c>
      <c r="Q124" s="3">
        <f t="shared" si="19"/>
        <v>402</v>
      </c>
      <c r="R124" s="3">
        <f t="shared" si="20"/>
        <v>460.46511627906978</v>
      </c>
    </row>
    <row r="125" spans="5:18" x14ac:dyDescent="0.25">
      <c r="F125" s="3"/>
      <c r="G125" s="3"/>
      <c r="H125" s="3"/>
      <c r="K125" s="3"/>
      <c r="L125" s="3"/>
      <c r="M125" s="3"/>
      <c r="P125" s="3"/>
      <c r="Q125" s="3"/>
      <c r="R125" s="3"/>
    </row>
    <row r="126" spans="5:18" x14ac:dyDescent="0.25">
      <c r="F126" s="3"/>
      <c r="G126" s="3"/>
      <c r="H126" s="3"/>
      <c r="K126" s="3"/>
      <c r="L126" s="3"/>
      <c r="M126" s="3"/>
      <c r="P126" s="3"/>
      <c r="Q126" s="3"/>
      <c r="R126" s="3"/>
    </row>
    <row r="127" spans="5:18" x14ac:dyDescent="0.25">
      <c r="F127" s="3"/>
      <c r="G127" s="3"/>
      <c r="H127" s="3"/>
      <c r="K127" s="3"/>
      <c r="L127" s="3"/>
      <c r="M127" s="3"/>
      <c r="P127" s="3"/>
      <c r="Q127" s="3"/>
      <c r="R127" s="3"/>
    </row>
    <row r="128" spans="5:18" x14ac:dyDescent="0.25">
      <c r="F128" s="3"/>
      <c r="G128" s="3"/>
      <c r="H128" s="3"/>
      <c r="K128" s="3"/>
      <c r="L128" s="3"/>
      <c r="M128" s="3"/>
      <c r="P128" s="3"/>
      <c r="Q128" s="3"/>
      <c r="R128" s="3"/>
    </row>
    <row r="129" spans="6:18" x14ac:dyDescent="0.25">
      <c r="F129" s="3"/>
      <c r="G129" s="3"/>
      <c r="H129" s="3"/>
      <c r="K129" s="3"/>
      <c r="L129" s="3"/>
      <c r="M129" s="3"/>
      <c r="P129" s="3"/>
      <c r="Q129" s="3"/>
      <c r="R129" s="3"/>
    </row>
    <row r="130" spans="6:18" x14ac:dyDescent="0.25">
      <c r="F130" s="3"/>
      <c r="G130" s="3"/>
      <c r="H130" s="3"/>
      <c r="K130" s="3"/>
      <c r="L130" s="3"/>
      <c r="M130" s="3"/>
      <c r="P130" s="3"/>
      <c r="Q130" s="3"/>
      <c r="R130" s="3"/>
    </row>
    <row r="131" spans="6:18" x14ac:dyDescent="0.25">
      <c r="F131" s="3"/>
      <c r="G131" s="3"/>
      <c r="H131" s="3"/>
      <c r="K131" s="3"/>
      <c r="L131" s="3"/>
      <c r="M131" s="3"/>
      <c r="P131" s="3"/>
      <c r="Q131" s="3"/>
      <c r="R131" s="3"/>
    </row>
    <row r="132" spans="6:18" x14ac:dyDescent="0.25">
      <c r="F132" s="3"/>
      <c r="G132" s="3"/>
      <c r="H132" s="3"/>
      <c r="K132" s="3"/>
      <c r="L132" s="3"/>
      <c r="M132" s="3"/>
      <c r="P132" s="3"/>
      <c r="Q132" s="3"/>
      <c r="R132" s="3"/>
    </row>
    <row r="133" spans="6:18" x14ac:dyDescent="0.25">
      <c r="F133" s="3"/>
      <c r="G133" s="3"/>
      <c r="H133" s="3"/>
      <c r="K133" s="3"/>
      <c r="L133" s="3"/>
      <c r="M133" s="3"/>
      <c r="P133" s="3"/>
      <c r="Q133" s="3"/>
      <c r="R133" s="3"/>
    </row>
    <row r="134" spans="6:18" x14ac:dyDescent="0.25">
      <c r="F134" s="3"/>
      <c r="G134" s="3"/>
      <c r="H134" s="3"/>
      <c r="K134" s="3"/>
      <c r="L134" s="3"/>
      <c r="M134" s="3"/>
      <c r="P134" s="3"/>
      <c r="Q134" s="3"/>
      <c r="R134" s="3"/>
    </row>
    <row r="135" spans="6:18" x14ac:dyDescent="0.25">
      <c r="F135" s="3"/>
      <c r="G135" s="3"/>
      <c r="H135" s="3"/>
      <c r="K135" s="3"/>
      <c r="L135" s="3"/>
      <c r="M135" s="3"/>
      <c r="P135" s="3"/>
      <c r="Q135" s="3"/>
      <c r="R135" s="3"/>
    </row>
    <row r="136" spans="6:18" x14ac:dyDescent="0.25">
      <c r="F136" s="3"/>
      <c r="G136" s="3"/>
      <c r="H136" s="3"/>
      <c r="K136" s="3"/>
      <c r="L136" s="3"/>
      <c r="M136" s="3"/>
      <c r="P136" s="3"/>
      <c r="Q136" s="3"/>
      <c r="R136" s="3"/>
    </row>
    <row r="137" spans="6:18" x14ac:dyDescent="0.25">
      <c r="F137" s="3"/>
      <c r="G137" s="3"/>
      <c r="H137" s="3"/>
      <c r="K137" s="3"/>
      <c r="L137" s="3"/>
      <c r="M137" s="3"/>
      <c r="P137" s="3"/>
      <c r="Q137" s="3"/>
      <c r="R137" s="3"/>
    </row>
    <row r="138" spans="6:18" x14ac:dyDescent="0.25">
      <c r="F138" s="3"/>
      <c r="G138" s="3"/>
      <c r="H138" s="3"/>
      <c r="K138" s="3"/>
      <c r="L138" s="3"/>
      <c r="M138" s="3"/>
      <c r="P138" s="3"/>
      <c r="Q138" s="3"/>
      <c r="R138" s="3"/>
    </row>
    <row r="139" spans="6:18" x14ac:dyDescent="0.25">
      <c r="F139" s="3"/>
      <c r="G139" s="3"/>
      <c r="H139" s="3"/>
      <c r="K139" s="3"/>
      <c r="L139" s="3"/>
      <c r="M139" s="3"/>
      <c r="P139" s="3"/>
      <c r="Q139" s="3"/>
      <c r="R139" s="3"/>
    </row>
    <row r="140" spans="6:18" x14ac:dyDescent="0.25">
      <c r="F140" s="3"/>
      <c r="G140" s="3"/>
      <c r="H140" s="3"/>
      <c r="K140" s="3"/>
      <c r="L140" s="3"/>
      <c r="M140" s="3"/>
      <c r="P140" s="3"/>
      <c r="Q140" s="3"/>
      <c r="R140" s="3"/>
    </row>
    <row r="141" spans="6:18" x14ac:dyDescent="0.25">
      <c r="F141" s="3"/>
      <c r="G141" s="3"/>
      <c r="H141" s="3"/>
      <c r="K141" s="3"/>
      <c r="L141" s="3"/>
      <c r="M141" s="3"/>
      <c r="P141" s="3"/>
      <c r="Q141" s="3"/>
      <c r="R141" s="3"/>
    </row>
    <row r="142" spans="6:18" x14ac:dyDescent="0.25">
      <c r="F142" s="3"/>
      <c r="G142" s="3"/>
      <c r="H142" s="3"/>
      <c r="K142" s="3"/>
      <c r="L142" s="3"/>
      <c r="M142" s="3"/>
      <c r="P142" s="3"/>
      <c r="Q142" s="3"/>
      <c r="R142" s="3"/>
    </row>
    <row r="143" spans="6:18" x14ac:dyDescent="0.25">
      <c r="F143" s="3"/>
      <c r="G143" s="3"/>
      <c r="H143" s="3"/>
      <c r="K143" s="3"/>
      <c r="L143" s="3"/>
      <c r="M143" s="3"/>
      <c r="P143" s="3"/>
      <c r="Q143" s="3"/>
      <c r="R143" s="3"/>
    </row>
    <row r="144" spans="6:18" x14ac:dyDescent="0.25">
      <c r="F144" s="3"/>
      <c r="G144" s="3"/>
      <c r="H144" s="3"/>
      <c r="K144" s="3"/>
      <c r="L144" s="3"/>
      <c r="M144" s="3"/>
      <c r="P144" s="3"/>
      <c r="Q144" s="3"/>
      <c r="R144" s="3"/>
    </row>
    <row r="145" spans="6:18" x14ac:dyDescent="0.25">
      <c r="F145" s="3"/>
      <c r="G145" s="3"/>
      <c r="H145" s="3"/>
      <c r="K145" s="3"/>
      <c r="L145" s="3"/>
      <c r="M145" s="3"/>
      <c r="P145" s="3"/>
      <c r="Q145" s="3"/>
      <c r="R145" s="3"/>
    </row>
    <row r="146" spans="6:18" x14ac:dyDescent="0.25">
      <c r="F146" s="3"/>
      <c r="G146" s="3"/>
      <c r="H146" s="3"/>
      <c r="K146" s="3"/>
      <c r="L146" s="3"/>
      <c r="M146" s="3"/>
      <c r="P146" s="3"/>
      <c r="Q146" s="3"/>
      <c r="R146" s="3"/>
    </row>
    <row r="147" spans="6:18" x14ac:dyDescent="0.25">
      <c r="F147" s="3"/>
      <c r="G147" s="3"/>
      <c r="H147" s="3"/>
      <c r="K147" s="3"/>
      <c r="L147" s="3"/>
      <c r="M147" s="3"/>
      <c r="P147" s="3"/>
      <c r="Q147" s="3"/>
      <c r="R147" s="3"/>
    </row>
    <row r="148" spans="6:18" x14ac:dyDescent="0.25">
      <c r="F148" s="3"/>
      <c r="G148" s="3"/>
      <c r="H148" s="3"/>
      <c r="K148" s="3"/>
      <c r="L148" s="3"/>
      <c r="M148" s="3"/>
      <c r="P148" s="3"/>
      <c r="Q148" s="3"/>
      <c r="R148" s="3"/>
    </row>
    <row r="149" spans="6:18" x14ac:dyDescent="0.25">
      <c r="F149" s="3"/>
      <c r="G149" s="3"/>
      <c r="H149" s="3"/>
      <c r="K149" s="3"/>
      <c r="L149" s="3"/>
      <c r="M149" s="3"/>
      <c r="P149" s="3"/>
      <c r="Q149" s="3"/>
      <c r="R149" s="3"/>
    </row>
    <row r="150" spans="6:18" x14ac:dyDescent="0.25">
      <c r="F150" s="3"/>
      <c r="G150" s="3"/>
      <c r="H150" s="3"/>
      <c r="K150" s="3"/>
      <c r="L150" s="3"/>
      <c r="M150" s="3"/>
      <c r="P150" s="3"/>
      <c r="Q150" s="3"/>
      <c r="R150" s="3"/>
    </row>
    <row r="151" spans="6:18" x14ac:dyDescent="0.25">
      <c r="F151" s="3"/>
      <c r="G151" s="3"/>
      <c r="H151" s="3"/>
      <c r="K151" s="3"/>
      <c r="L151" s="3"/>
      <c r="M151" s="3"/>
      <c r="P151" s="3"/>
      <c r="Q151" s="3"/>
      <c r="R151" s="3"/>
    </row>
    <row r="152" spans="6:18" x14ac:dyDescent="0.25">
      <c r="F152" s="3"/>
      <c r="G152" s="3"/>
      <c r="H152" s="3"/>
      <c r="K152" s="3"/>
      <c r="L152" s="3"/>
      <c r="M152" s="3"/>
      <c r="P152" s="3"/>
      <c r="Q152" s="3"/>
      <c r="R152" s="3"/>
    </row>
    <row r="153" spans="6:18" x14ac:dyDescent="0.25">
      <c r="F153" s="3"/>
      <c r="G153" s="3"/>
      <c r="H153" s="3"/>
      <c r="K153" s="3"/>
      <c r="L153" s="3"/>
      <c r="M153" s="3"/>
      <c r="P153" s="3"/>
      <c r="Q153" s="3"/>
      <c r="R153" s="3"/>
    </row>
    <row r="154" spans="6:18" x14ac:dyDescent="0.25">
      <c r="F154" s="3"/>
      <c r="G154" s="3"/>
      <c r="H154" s="3"/>
      <c r="K154" s="3"/>
      <c r="L154" s="3"/>
      <c r="M154" s="3"/>
      <c r="P154" s="3"/>
      <c r="Q154" s="3"/>
      <c r="R154" s="3"/>
    </row>
    <row r="155" spans="6:18" x14ac:dyDescent="0.25">
      <c r="F155" s="3"/>
      <c r="G155" s="3"/>
      <c r="H155" s="3"/>
      <c r="K155" s="3"/>
      <c r="L155" s="3"/>
      <c r="M155" s="3"/>
      <c r="P155" s="3"/>
      <c r="Q155" s="3"/>
      <c r="R155" s="3"/>
    </row>
    <row r="156" spans="6:18" x14ac:dyDescent="0.25">
      <c r="F156" s="3"/>
      <c r="G156" s="3"/>
      <c r="H156" s="3"/>
      <c r="K156" s="3"/>
      <c r="L156" s="3"/>
      <c r="M156" s="3"/>
      <c r="P156" s="3"/>
      <c r="Q156" s="3"/>
      <c r="R156" s="3"/>
    </row>
    <row r="157" spans="6:18" x14ac:dyDescent="0.25">
      <c r="F157" s="3"/>
      <c r="G157" s="3"/>
      <c r="H157" s="3"/>
      <c r="K157" s="3"/>
      <c r="L157" s="3"/>
      <c r="M157" s="3"/>
      <c r="P157" s="3"/>
      <c r="Q157" s="3"/>
      <c r="R157" s="3"/>
    </row>
    <row r="158" spans="6:18" x14ac:dyDescent="0.25">
      <c r="F158" s="3"/>
      <c r="G158" s="3"/>
      <c r="H158" s="3"/>
      <c r="K158" s="3"/>
      <c r="L158" s="3"/>
      <c r="M158" s="3"/>
      <c r="P158" s="3"/>
      <c r="Q158" s="3"/>
      <c r="R158" s="3"/>
    </row>
    <row r="159" spans="6:18" x14ac:dyDescent="0.25">
      <c r="F159" s="3"/>
      <c r="G159" s="3"/>
      <c r="H159" s="3"/>
      <c r="K159" s="3"/>
      <c r="L159" s="3"/>
      <c r="M159" s="3"/>
      <c r="P159" s="3"/>
      <c r="Q159" s="3"/>
      <c r="R159" s="3"/>
    </row>
    <row r="160" spans="6:18" x14ac:dyDescent="0.25">
      <c r="F160" s="3"/>
      <c r="G160" s="3"/>
      <c r="H160" s="3"/>
      <c r="K160" s="3"/>
      <c r="L160" s="3"/>
      <c r="M160" s="3"/>
      <c r="P160" s="3"/>
      <c r="Q160" s="3"/>
      <c r="R160" s="3"/>
    </row>
    <row r="161" spans="6:18" x14ac:dyDescent="0.25">
      <c r="F161" s="3"/>
      <c r="G161" s="3"/>
      <c r="H161" s="3"/>
      <c r="K161" s="3"/>
      <c r="L161" s="3"/>
      <c r="M161" s="3"/>
      <c r="P161" s="3"/>
      <c r="Q161" s="3"/>
      <c r="R161" s="3"/>
    </row>
    <row r="162" spans="6:18" x14ac:dyDescent="0.25">
      <c r="F162" s="3"/>
      <c r="G162" s="3"/>
      <c r="H162" s="3"/>
      <c r="K162" s="3"/>
      <c r="L162" s="3"/>
      <c r="M162" s="3"/>
      <c r="P162" s="3"/>
      <c r="Q162" s="3"/>
      <c r="R162" s="3"/>
    </row>
    <row r="163" spans="6:18" x14ac:dyDescent="0.25">
      <c r="F163" s="3"/>
      <c r="G163" s="3"/>
      <c r="H163" s="3"/>
      <c r="K163" s="3"/>
      <c r="L163" s="3"/>
      <c r="M163" s="3"/>
      <c r="P163" s="3"/>
      <c r="Q163" s="3"/>
      <c r="R163" s="3"/>
    </row>
    <row r="164" spans="6:18" x14ac:dyDescent="0.25">
      <c r="F164" s="3"/>
      <c r="G164" s="3"/>
      <c r="H164" s="3"/>
      <c r="K164" s="3"/>
      <c r="L164" s="3"/>
      <c r="M164" s="3"/>
      <c r="P164" s="3"/>
      <c r="Q164" s="3"/>
      <c r="R164" s="3"/>
    </row>
    <row r="165" spans="6:18" x14ac:dyDescent="0.25">
      <c r="F165" s="3"/>
      <c r="G165" s="3"/>
      <c r="H165" s="3"/>
      <c r="K165" s="3"/>
      <c r="L165" s="3"/>
      <c r="M165" s="3"/>
      <c r="P165" s="3"/>
      <c r="Q165" s="3"/>
      <c r="R165" s="3"/>
    </row>
    <row r="166" spans="6:18" x14ac:dyDescent="0.25">
      <c r="F166" s="3"/>
      <c r="G166" s="3"/>
      <c r="H166" s="3"/>
      <c r="K166" s="3"/>
      <c r="L166" s="3"/>
      <c r="M166" s="3"/>
      <c r="P166" s="3"/>
      <c r="Q166" s="3"/>
      <c r="R166" s="3"/>
    </row>
    <row r="167" spans="6:18" x14ac:dyDescent="0.25">
      <c r="F167" s="3"/>
      <c r="G167" s="3"/>
      <c r="H167" s="3"/>
      <c r="K167" s="3"/>
      <c r="L167" s="3"/>
      <c r="M167" s="3"/>
      <c r="P167" s="3"/>
      <c r="Q167" s="3"/>
      <c r="R167" s="3"/>
    </row>
    <row r="168" spans="6:18" x14ac:dyDescent="0.25">
      <c r="F168" s="3"/>
      <c r="G168" s="3"/>
      <c r="H168" s="3"/>
      <c r="K168" s="3"/>
      <c r="L168" s="3"/>
      <c r="M168" s="3"/>
      <c r="P168" s="3"/>
      <c r="Q168" s="3"/>
      <c r="R168" s="3"/>
    </row>
    <row r="169" spans="6:18" x14ac:dyDescent="0.25">
      <c r="F169" s="3"/>
      <c r="G169" s="3"/>
      <c r="H169" s="3"/>
      <c r="K169" s="3"/>
      <c r="L169" s="3"/>
      <c r="M169" s="3"/>
      <c r="P169" s="3"/>
      <c r="Q169" s="3"/>
      <c r="R169" s="3"/>
    </row>
    <row r="170" spans="6:18" x14ac:dyDescent="0.25">
      <c r="F170" s="3"/>
      <c r="G170" s="3"/>
      <c r="H170" s="3"/>
      <c r="K170" s="3"/>
      <c r="L170" s="3"/>
      <c r="M170" s="3"/>
      <c r="P170" s="3"/>
      <c r="Q170" s="3"/>
      <c r="R170" s="3"/>
    </row>
    <row r="171" spans="6:18" x14ac:dyDescent="0.25">
      <c r="F171" s="3"/>
      <c r="G171" s="3"/>
      <c r="H171" s="3"/>
      <c r="K171" s="3"/>
      <c r="L171" s="3"/>
      <c r="M171" s="3"/>
      <c r="P171" s="3"/>
      <c r="Q171" s="3"/>
      <c r="R171" s="3"/>
    </row>
    <row r="172" spans="6:18" x14ac:dyDescent="0.25">
      <c r="F172" s="3"/>
      <c r="G172" s="3"/>
      <c r="H172" s="3"/>
      <c r="K172" s="3"/>
      <c r="L172" s="3"/>
      <c r="M172" s="3"/>
      <c r="P172" s="3"/>
      <c r="Q172" s="3"/>
      <c r="R172" s="3"/>
    </row>
    <row r="173" spans="6:18" x14ac:dyDescent="0.25">
      <c r="F173" s="3"/>
      <c r="G173" s="3"/>
      <c r="H173" s="3"/>
      <c r="K173" s="3"/>
      <c r="L173" s="3"/>
      <c r="M173" s="3"/>
      <c r="P173" s="3"/>
      <c r="Q173" s="3"/>
      <c r="R173" s="3"/>
    </row>
    <row r="174" spans="6:18" x14ac:dyDescent="0.25">
      <c r="F174" s="3"/>
      <c r="G174" s="3"/>
      <c r="H174" s="3"/>
      <c r="K174" s="3"/>
      <c r="L174" s="3"/>
      <c r="M174" s="3"/>
      <c r="P174" s="3"/>
      <c r="Q174" s="3"/>
      <c r="R174" s="3"/>
    </row>
    <row r="175" spans="6:18" x14ac:dyDescent="0.25">
      <c r="F175" s="3"/>
      <c r="G175" s="3"/>
      <c r="H175" s="3"/>
      <c r="K175" s="3"/>
      <c r="L175" s="3"/>
      <c r="M175" s="3"/>
      <c r="P175" s="3"/>
      <c r="Q175" s="3"/>
      <c r="R175" s="3"/>
    </row>
    <row r="176" spans="6:18" x14ac:dyDescent="0.25">
      <c r="F176" s="3"/>
      <c r="G176" s="3"/>
      <c r="H176" s="3"/>
      <c r="K176" s="3"/>
      <c r="L176" s="3"/>
      <c r="M176" s="3"/>
      <c r="P176" s="3"/>
      <c r="Q176" s="3"/>
      <c r="R176" s="3"/>
    </row>
    <row r="177" spans="6:18" x14ac:dyDescent="0.25">
      <c r="F177" s="3"/>
      <c r="G177" s="3"/>
      <c r="H177" s="3"/>
      <c r="K177" s="3"/>
      <c r="L177" s="3"/>
      <c r="M177" s="3"/>
      <c r="P177" s="3"/>
      <c r="Q177" s="3"/>
      <c r="R177" s="3"/>
    </row>
    <row r="178" spans="6:18" x14ac:dyDescent="0.25">
      <c r="F178" s="3"/>
      <c r="G178" s="3"/>
      <c r="H178" s="3"/>
      <c r="K178" s="3"/>
      <c r="L178" s="3"/>
      <c r="M178" s="3"/>
      <c r="P178" s="3"/>
      <c r="Q178" s="3"/>
      <c r="R178" s="3"/>
    </row>
    <row r="179" spans="6:18" x14ac:dyDescent="0.25">
      <c r="F179" s="3"/>
      <c r="G179" s="3"/>
      <c r="H179" s="3"/>
      <c r="K179" s="3"/>
      <c r="L179" s="3"/>
      <c r="M179" s="3"/>
      <c r="P179" s="3"/>
      <c r="Q179" s="3"/>
      <c r="R179" s="3"/>
    </row>
    <row r="180" spans="6:18" x14ac:dyDescent="0.25">
      <c r="F180" s="3"/>
      <c r="G180" s="3"/>
      <c r="H180" s="3"/>
      <c r="K180" s="3"/>
      <c r="L180" s="3"/>
      <c r="M180" s="3"/>
      <c r="P180" s="3"/>
      <c r="Q180" s="3"/>
      <c r="R180" s="3"/>
    </row>
    <row r="181" spans="6:18" x14ac:dyDescent="0.25">
      <c r="F181" s="3"/>
      <c r="G181" s="3"/>
      <c r="H181" s="3"/>
      <c r="K181" s="3"/>
      <c r="L181" s="3"/>
      <c r="M181" s="3"/>
      <c r="P181" s="3"/>
      <c r="Q181" s="3"/>
      <c r="R181" s="3"/>
    </row>
    <row r="182" spans="6:18" x14ac:dyDescent="0.25">
      <c r="F182" s="3"/>
      <c r="G182" s="3"/>
      <c r="H182" s="3"/>
      <c r="K182" s="3"/>
      <c r="L182" s="3"/>
      <c r="M182" s="3"/>
      <c r="P182" s="3"/>
      <c r="Q182" s="3"/>
      <c r="R182" s="3"/>
    </row>
    <row r="183" spans="6:18" x14ac:dyDescent="0.25">
      <c r="F183" s="3"/>
      <c r="G183" s="3"/>
      <c r="H183" s="3"/>
      <c r="K183" s="3"/>
      <c r="L183" s="3"/>
      <c r="M183" s="3"/>
      <c r="P183" s="3"/>
      <c r="Q183" s="3"/>
      <c r="R183" s="3"/>
    </row>
    <row r="184" spans="6:18" x14ac:dyDescent="0.25">
      <c r="F184" s="3"/>
      <c r="G184" s="3"/>
      <c r="H184" s="3"/>
      <c r="K184" s="3"/>
      <c r="L184" s="3"/>
      <c r="M184" s="3"/>
      <c r="P184" s="3"/>
      <c r="Q184" s="3"/>
      <c r="R184" s="3"/>
    </row>
    <row r="185" spans="6:18" x14ac:dyDescent="0.25">
      <c r="F185" s="3"/>
      <c r="G185" s="3"/>
      <c r="H185" s="3"/>
      <c r="K185" s="3"/>
      <c r="L185" s="3"/>
      <c r="M185" s="3"/>
      <c r="P185" s="3"/>
      <c r="Q185" s="3"/>
      <c r="R185" s="3"/>
    </row>
    <row r="186" spans="6:18" x14ac:dyDescent="0.25">
      <c r="F186" s="3"/>
      <c r="G186" s="3"/>
      <c r="H186" s="3"/>
      <c r="K186" s="3"/>
      <c r="L186" s="3"/>
      <c r="M186" s="3"/>
      <c r="P186" s="3"/>
      <c r="Q186" s="3"/>
      <c r="R186" s="3"/>
    </row>
    <row r="187" spans="6:18" x14ac:dyDescent="0.25">
      <c r="F187" s="3"/>
      <c r="G187" s="3"/>
      <c r="H187" s="3"/>
      <c r="K187" s="3"/>
      <c r="L187" s="3"/>
      <c r="M187" s="3"/>
      <c r="P187" s="3"/>
      <c r="Q187" s="3"/>
      <c r="R187" s="3"/>
    </row>
    <row r="188" spans="6:18" x14ac:dyDescent="0.25">
      <c r="F188" s="3"/>
      <c r="G188" s="3"/>
      <c r="H188" s="3"/>
      <c r="K188" s="3"/>
      <c r="L188" s="3"/>
      <c r="M188" s="3"/>
      <c r="P188" s="3"/>
      <c r="Q188" s="3"/>
      <c r="R188" s="3"/>
    </row>
    <row r="189" spans="6:18" x14ac:dyDescent="0.25">
      <c r="F189" s="3"/>
      <c r="G189" s="3"/>
      <c r="H189" s="3"/>
      <c r="K189" s="3"/>
      <c r="L189" s="3"/>
      <c r="M189" s="3"/>
      <c r="P189" s="3"/>
      <c r="Q189" s="3"/>
      <c r="R189" s="3"/>
    </row>
    <row r="190" spans="6:18" x14ac:dyDescent="0.25">
      <c r="F190" s="3"/>
      <c r="G190" s="3"/>
      <c r="H190" s="3"/>
      <c r="K190" s="3"/>
      <c r="L190" s="3"/>
      <c r="M190" s="3"/>
      <c r="P190" s="3"/>
      <c r="Q190" s="3"/>
      <c r="R190" s="3"/>
    </row>
    <row r="191" spans="6:18" x14ac:dyDescent="0.25">
      <c r="F191" s="3"/>
      <c r="G191" s="3"/>
      <c r="H191" s="3"/>
      <c r="K191" s="3"/>
      <c r="L191" s="3"/>
      <c r="M191" s="3"/>
      <c r="P191" s="3"/>
      <c r="Q191" s="3"/>
      <c r="R191" s="3"/>
    </row>
    <row r="192" spans="6:18" x14ac:dyDescent="0.25">
      <c r="F192" s="3"/>
      <c r="G192" s="3"/>
      <c r="H192" s="3"/>
      <c r="K192" s="3"/>
      <c r="L192" s="3"/>
      <c r="M192" s="3"/>
      <c r="P192" s="3"/>
      <c r="Q192" s="3"/>
      <c r="R192" s="3"/>
    </row>
    <row r="193" spans="6:18" x14ac:dyDescent="0.25">
      <c r="F193" s="3"/>
      <c r="G193" s="3"/>
      <c r="H193" s="3"/>
      <c r="K193" s="3"/>
      <c r="L193" s="3"/>
      <c r="M193" s="3"/>
      <c r="P193" s="3"/>
      <c r="Q193" s="3"/>
      <c r="R193" s="3"/>
    </row>
    <row r="194" spans="6:18" x14ac:dyDescent="0.25">
      <c r="F194" s="3"/>
      <c r="G194" s="3"/>
      <c r="H194" s="3"/>
      <c r="K194" s="3"/>
      <c r="L194" s="3"/>
      <c r="M194" s="3"/>
      <c r="P194" s="3"/>
      <c r="Q194" s="3"/>
      <c r="R194" s="3"/>
    </row>
    <row r="195" spans="6:18" x14ac:dyDescent="0.25">
      <c r="F195" s="3"/>
      <c r="G195" s="3"/>
      <c r="H195" s="3"/>
      <c r="K195" s="3"/>
      <c r="L195" s="3"/>
      <c r="M195" s="3"/>
      <c r="P195" s="3"/>
      <c r="Q195" s="3"/>
      <c r="R195" s="3"/>
    </row>
    <row r="196" spans="6:18" x14ac:dyDescent="0.25">
      <c r="F196" s="3"/>
      <c r="G196" s="3"/>
      <c r="H196" s="3"/>
      <c r="K196" s="3"/>
      <c r="L196" s="3"/>
      <c r="M196" s="3"/>
      <c r="P196" s="3"/>
      <c r="Q196" s="3"/>
      <c r="R196" s="3"/>
    </row>
    <row r="197" spans="6:18" x14ac:dyDescent="0.25">
      <c r="F197" s="3"/>
      <c r="G197" s="3"/>
      <c r="H197" s="3"/>
      <c r="K197" s="3"/>
      <c r="L197" s="3"/>
      <c r="M197" s="3"/>
      <c r="P197" s="3"/>
      <c r="Q197" s="3"/>
      <c r="R197" s="3"/>
    </row>
    <row r="198" spans="6:18" x14ac:dyDescent="0.25">
      <c r="F198" s="3"/>
      <c r="G198" s="3"/>
      <c r="H198" s="3"/>
      <c r="K198" s="3"/>
      <c r="L198" s="3"/>
      <c r="M198" s="3"/>
      <c r="P198" s="3"/>
      <c r="Q198" s="3"/>
      <c r="R198" s="3"/>
    </row>
    <row r="199" spans="6:18" x14ac:dyDescent="0.25">
      <c r="F199" s="3"/>
      <c r="G199" s="3"/>
      <c r="H199" s="3"/>
      <c r="K199" s="3"/>
      <c r="L199" s="3"/>
      <c r="M199" s="3"/>
      <c r="P199" s="3"/>
      <c r="Q199" s="3"/>
      <c r="R199" s="3"/>
    </row>
    <row r="200" spans="6:18" x14ac:dyDescent="0.25">
      <c r="F200" s="3"/>
      <c r="G200" s="3"/>
      <c r="H200" s="3"/>
      <c r="K200" s="3"/>
      <c r="L200" s="3"/>
      <c r="M200" s="3"/>
      <c r="P200" s="3"/>
      <c r="Q200" s="3"/>
      <c r="R200" s="3"/>
    </row>
    <row r="201" spans="6:18" x14ac:dyDescent="0.25">
      <c r="F201" s="3"/>
      <c r="G201" s="3"/>
      <c r="H201" s="3"/>
      <c r="K201" s="3"/>
      <c r="L201" s="3"/>
      <c r="M201" s="3"/>
      <c r="P201" s="3"/>
      <c r="Q201" s="3"/>
      <c r="R201" s="3"/>
    </row>
    <row r="202" spans="6:18" x14ac:dyDescent="0.25">
      <c r="F202" s="3"/>
      <c r="G202" s="3"/>
      <c r="H202" s="3"/>
      <c r="K202" s="3"/>
      <c r="L202" s="3"/>
      <c r="M202" s="3"/>
      <c r="P202" s="3"/>
      <c r="Q202" s="3"/>
      <c r="R202" s="3"/>
    </row>
    <row r="203" spans="6:18" x14ac:dyDescent="0.25">
      <c r="F203" s="3"/>
      <c r="G203" s="3"/>
      <c r="H203" s="3"/>
      <c r="K203" s="3"/>
      <c r="L203" s="3"/>
      <c r="M203" s="3"/>
      <c r="P203" s="3"/>
      <c r="Q203" s="3"/>
      <c r="R203" s="3"/>
    </row>
    <row r="204" spans="6:18" x14ac:dyDescent="0.25">
      <c r="F204" s="3"/>
      <c r="G204" s="3"/>
      <c r="H204" s="3"/>
      <c r="K204" s="3"/>
      <c r="L204" s="3"/>
      <c r="M204" s="3"/>
      <c r="P204" s="3"/>
      <c r="Q204" s="3"/>
      <c r="R204" s="3"/>
    </row>
    <row r="205" spans="6:18" x14ac:dyDescent="0.25">
      <c r="F205" s="3"/>
      <c r="G205" s="3"/>
      <c r="H205" s="3"/>
      <c r="K205" s="3"/>
      <c r="L205" s="3"/>
      <c r="M205" s="3"/>
      <c r="P205" s="3"/>
      <c r="Q205" s="3"/>
      <c r="R205" s="3"/>
    </row>
    <row r="206" spans="6:18" x14ac:dyDescent="0.25">
      <c r="F206" s="3"/>
      <c r="G206" s="3"/>
      <c r="H206" s="3"/>
      <c r="K206" s="3"/>
      <c r="L206" s="3"/>
      <c r="M206" s="3"/>
      <c r="P206" s="3"/>
      <c r="Q206" s="3"/>
      <c r="R206" s="3"/>
    </row>
    <row r="207" spans="6:18" x14ac:dyDescent="0.25">
      <c r="F207" s="3"/>
      <c r="G207" s="3"/>
      <c r="H207" s="3"/>
      <c r="K207" s="3"/>
      <c r="L207" s="3"/>
      <c r="M207" s="3"/>
      <c r="P207" s="3"/>
      <c r="Q207" s="3"/>
      <c r="R207" s="3"/>
    </row>
    <row r="208" spans="6:18" x14ac:dyDescent="0.25">
      <c r="F208" s="3"/>
      <c r="G208" s="3"/>
      <c r="H208" s="3"/>
      <c r="K208" s="3"/>
      <c r="L208" s="3"/>
      <c r="M208" s="3"/>
      <c r="P208" s="3"/>
      <c r="Q208" s="3"/>
      <c r="R208" s="3"/>
    </row>
    <row r="209" spans="6:18" x14ac:dyDescent="0.25">
      <c r="F209" s="3"/>
      <c r="G209" s="3"/>
      <c r="H209" s="3"/>
      <c r="K209" s="3"/>
      <c r="L209" s="3"/>
      <c r="M209" s="3"/>
      <c r="P209" s="3"/>
      <c r="Q209" s="3"/>
      <c r="R209" s="3"/>
    </row>
    <row r="210" spans="6:18" x14ac:dyDescent="0.25">
      <c r="F210" s="3"/>
      <c r="G210" s="3"/>
      <c r="H210" s="3"/>
      <c r="K210" s="3"/>
      <c r="L210" s="3"/>
      <c r="M210" s="3"/>
      <c r="P210" s="3"/>
      <c r="Q210" s="3"/>
      <c r="R210" s="3"/>
    </row>
    <row r="211" spans="6:18" x14ac:dyDescent="0.25">
      <c r="F211" s="3"/>
      <c r="G211" s="3"/>
      <c r="H211" s="3"/>
      <c r="K211" s="3"/>
      <c r="L211" s="3"/>
      <c r="M211" s="3"/>
      <c r="P211" s="3"/>
      <c r="Q211" s="3"/>
      <c r="R211" s="3"/>
    </row>
    <row r="212" spans="6:18" x14ac:dyDescent="0.25">
      <c r="F212" s="3"/>
      <c r="G212" s="3"/>
      <c r="H212" s="3"/>
      <c r="K212" s="3"/>
      <c r="L212" s="3"/>
      <c r="M212" s="3"/>
      <c r="P212" s="3"/>
      <c r="Q212" s="3"/>
      <c r="R212" s="3"/>
    </row>
    <row r="213" spans="6:18" x14ac:dyDescent="0.25">
      <c r="F213" s="3"/>
      <c r="G213" s="3"/>
      <c r="H213" s="3"/>
      <c r="K213" s="3"/>
      <c r="L213" s="3"/>
      <c r="M213" s="3"/>
      <c r="P213" s="3"/>
      <c r="Q213" s="3"/>
      <c r="R213" s="3"/>
    </row>
    <row r="214" spans="6:18" x14ac:dyDescent="0.25">
      <c r="F214" s="3"/>
      <c r="G214" s="3"/>
      <c r="H214" s="3"/>
      <c r="K214" s="3"/>
      <c r="L214" s="3"/>
      <c r="M214" s="3"/>
      <c r="P214" s="3"/>
      <c r="Q214" s="3"/>
      <c r="R214" s="3"/>
    </row>
    <row r="215" spans="6:18" x14ac:dyDescent="0.25">
      <c r="F215" s="3"/>
      <c r="G215" s="3"/>
      <c r="H215" s="3"/>
      <c r="K215" s="3"/>
      <c r="L215" s="3"/>
      <c r="M215" s="3"/>
      <c r="P215" s="3"/>
      <c r="Q215" s="3"/>
      <c r="R215" s="3"/>
    </row>
    <row r="216" spans="6:18" x14ac:dyDescent="0.25">
      <c r="F216" s="3"/>
      <c r="G216" s="3"/>
      <c r="H216" s="3"/>
      <c r="K216" s="3"/>
      <c r="L216" s="3"/>
      <c r="M216" s="3"/>
      <c r="P216" s="3"/>
      <c r="Q216" s="3"/>
      <c r="R216" s="3"/>
    </row>
    <row r="217" spans="6:18" x14ac:dyDescent="0.25">
      <c r="F217" s="3"/>
      <c r="G217" s="3"/>
      <c r="H217" s="3"/>
      <c r="K217" s="3"/>
      <c r="L217" s="3"/>
      <c r="M217" s="3"/>
      <c r="P217" s="3"/>
      <c r="Q217" s="3"/>
      <c r="R217" s="3"/>
    </row>
    <row r="218" spans="6:18" x14ac:dyDescent="0.25">
      <c r="F218" s="3"/>
      <c r="G218" s="3"/>
      <c r="H218" s="3"/>
      <c r="K218" s="3"/>
      <c r="L218" s="3"/>
      <c r="M218" s="3"/>
      <c r="P218" s="3"/>
      <c r="Q218" s="3"/>
      <c r="R218" s="3"/>
    </row>
    <row r="219" spans="6:18" x14ac:dyDescent="0.25">
      <c r="F219" s="3"/>
      <c r="G219" s="3"/>
      <c r="H219" s="3"/>
      <c r="K219" s="3"/>
      <c r="L219" s="3"/>
      <c r="M219" s="3"/>
      <c r="P219" s="3"/>
      <c r="Q219" s="3"/>
      <c r="R219" s="3"/>
    </row>
    <row r="220" spans="6:18" x14ac:dyDescent="0.25">
      <c r="F220" s="3"/>
      <c r="G220" s="3"/>
      <c r="H220" s="3"/>
      <c r="K220" s="3"/>
      <c r="L220" s="3"/>
      <c r="M220" s="3"/>
      <c r="P220" s="3"/>
      <c r="Q220" s="3"/>
      <c r="R220" s="3"/>
    </row>
    <row r="221" spans="6:18" x14ac:dyDescent="0.25">
      <c r="F221" s="3"/>
      <c r="G221" s="3"/>
      <c r="H221" s="3"/>
      <c r="K221" s="3"/>
      <c r="L221" s="3"/>
      <c r="M221" s="3"/>
      <c r="P221" s="3"/>
      <c r="Q221" s="3"/>
      <c r="R221" s="3"/>
    </row>
    <row r="222" spans="6:18" x14ac:dyDescent="0.25">
      <c r="F222" s="3"/>
      <c r="G222" s="3"/>
      <c r="H222" s="3"/>
      <c r="K222" s="3"/>
      <c r="L222" s="3"/>
      <c r="M222" s="3"/>
      <c r="P222" s="3"/>
      <c r="Q222" s="3"/>
      <c r="R222" s="3"/>
    </row>
    <row r="223" spans="6:18" x14ac:dyDescent="0.25">
      <c r="F223" s="3"/>
      <c r="G223" s="3"/>
      <c r="H223" s="3"/>
      <c r="K223" s="3"/>
      <c r="L223" s="3"/>
      <c r="M223" s="3"/>
      <c r="P223" s="3"/>
      <c r="Q223" s="3"/>
      <c r="R223" s="3"/>
    </row>
    <row r="224" spans="6:18" x14ac:dyDescent="0.25">
      <c r="F224" s="3"/>
      <c r="G224" s="3"/>
      <c r="H224" s="3"/>
      <c r="K224" s="3"/>
      <c r="L224" s="3"/>
      <c r="M224" s="3"/>
      <c r="P224" s="3"/>
      <c r="Q224" s="3"/>
      <c r="R224" s="3"/>
    </row>
    <row r="225" spans="6:18" x14ac:dyDescent="0.25">
      <c r="F225" s="3"/>
      <c r="G225" s="3"/>
      <c r="H225" s="3"/>
      <c r="K225" s="3"/>
      <c r="L225" s="3"/>
      <c r="M225" s="3"/>
      <c r="P225" s="3"/>
      <c r="Q225" s="3"/>
      <c r="R225" s="3"/>
    </row>
    <row r="226" spans="6:18" x14ac:dyDescent="0.25">
      <c r="F226" s="3"/>
      <c r="G226" s="3"/>
      <c r="H226" s="3"/>
      <c r="K226" s="3"/>
      <c r="L226" s="3"/>
      <c r="M226" s="3"/>
      <c r="P226" s="3"/>
      <c r="Q226" s="3"/>
      <c r="R226" s="3"/>
    </row>
    <row r="227" spans="6:18" x14ac:dyDescent="0.25">
      <c r="F227" s="3"/>
      <c r="G227" s="3"/>
      <c r="H227" s="3"/>
      <c r="K227" s="3"/>
      <c r="L227" s="3"/>
      <c r="M227" s="3"/>
      <c r="P227" s="3"/>
      <c r="Q227" s="3"/>
      <c r="R227" s="3"/>
    </row>
    <row r="228" spans="6:18" x14ac:dyDescent="0.25">
      <c r="F228" s="3"/>
      <c r="G228" s="3"/>
      <c r="H228" s="3"/>
      <c r="K228" s="3"/>
      <c r="L228" s="3"/>
      <c r="M228" s="3"/>
      <c r="P228" s="3"/>
      <c r="Q228" s="3"/>
      <c r="R228" s="3"/>
    </row>
    <row r="229" spans="6:18" x14ac:dyDescent="0.25">
      <c r="F229" s="3"/>
      <c r="G229" s="3"/>
      <c r="H229" s="3"/>
      <c r="K229" s="3"/>
      <c r="L229" s="3"/>
      <c r="M229" s="3"/>
      <c r="P229" s="3"/>
      <c r="Q229" s="3"/>
      <c r="R229" s="3"/>
    </row>
    <row r="230" spans="6:18" x14ac:dyDescent="0.25">
      <c r="F230" s="3"/>
      <c r="G230" s="3"/>
      <c r="H230" s="3"/>
      <c r="K230" s="3"/>
      <c r="L230" s="3"/>
      <c r="M230" s="3"/>
      <c r="P230" s="3"/>
      <c r="Q230" s="3"/>
      <c r="R230" s="3"/>
    </row>
    <row r="231" spans="6:18" x14ac:dyDescent="0.25">
      <c r="F231" s="3"/>
      <c r="G231" s="3"/>
      <c r="H231" s="3"/>
      <c r="K231" s="3"/>
      <c r="L231" s="3"/>
      <c r="M231" s="3"/>
      <c r="P231" s="3"/>
      <c r="Q231" s="3"/>
      <c r="R231" s="3"/>
    </row>
    <row r="232" spans="6:18" x14ac:dyDescent="0.25">
      <c r="F232" s="3"/>
      <c r="G232" s="3"/>
      <c r="H232" s="3"/>
      <c r="K232" s="3"/>
      <c r="L232" s="3"/>
      <c r="M232" s="3"/>
      <c r="P232" s="3"/>
      <c r="Q232" s="3"/>
      <c r="R232" s="3"/>
    </row>
    <row r="233" spans="6:18" x14ac:dyDescent="0.25">
      <c r="F233" s="3"/>
      <c r="G233" s="3"/>
      <c r="H233" s="3"/>
      <c r="K233" s="3"/>
      <c r="L233" s="3"/>
      <c r="M233" s="3"/>
      <c r="P233" s="3"/>
      <c r="Q233" s="3"/>
      <c r="R233" s="3"/>
    </row>
    <row r="234" spans="6:18" x14ac:dyDescent="0.25">
      <c r="F234" s="3"/>
      <c r="G234" s="3"/>
      <c r="H234" s="3"/>
      <c r="K234" s="3"/>
      <c r="L234" s="3"/>
      <c r="M234" s="3"/>
      <c r="P234" s="3"/>
      <c r="Q234" s="3"/>
      <c r="R234" s="3"/>
    </row>
    <row r="235" spans="6:18" x14ac:dyDescent="0.25">
      <c r="F235" s="3"/>
      <c r="G235" s="3"/>
      <c r="H235" s="3"/>
      <c r="K235" s="3"/>
      <c r="L235" s="3"/>
      <c r="M235" s="3"/>
      <c r="P235" s="3"/>
      <c r="Q235" s="3"/>
      <c r="R235" s="3"/>
    </row>
    <row r="236" spans="6:18" x14ac:dyDescent="0.25">
      <c r="F236" s="3"/>
      <c r="G236" s="3"/>
      <c r="H236" s="3"/>
      <c r="K236" s="3"/>
      <c r="L236" s="3"/>
      <c r="M236" s="3"/>
      <c r="P236" s="3"/>
      <c r="Q236" s="3"/>
      <c r="R236" s="3"/>
    </row>
    <row r="237" spans="6:18" x14ac:dyDescent="0.25">
      <c r="F237" s="3"/>
      <c r="G237" s="3"/>
      <c r="H237" s="3"/>
      <c r="K237" s="3"/>
      <c r="L237" s="3"/>
      <c r="M237" s="3"/>
      <c r="P237" s="3"/>
      <c r="Q237" s="3"/>
      <c r="R237" s="3"/>
    </row>
    <row r="238" spans="6:18" x14ac:dyDescent="0.25">
      <c r="F238" s="3"/>
      <c r="G238" s="3"/>
      <c r="H238" s="3"/>
      <c r="K238" s="3"/>
      <c r="L238" s="3"/>
      <c r="M238" s="3"/>
      <c r="P238" s="3"/>
      <c r="Q238" s="3"/>
      <c r="R238" s="3"/>
    </row>
    <row r="239" spans="6:18" x14ac:dyDescent="0.25">
      <c r="F239" s="3"/>
      <c r="G239" s="3"/>
      <c r="H239" s="3"/>
      <c r="K239" s="3"/>
      <c r="L239" s="3"/>
      <c r="M239" s="3"/>
      <c r="P239" s="3"/>
      <c r="Q239" s="3"/>
      <c r="R239" s="3"/>
    </row>
    <row r="240" spans="6:18" x14ac:dyDescent="0.25">
      <c r="F240" s="3"/>
      <c r="G240" s="3"/>
      <c r="H240" s="3"/>
      <c r="K240" s="3"/>
      <c r="L240" s="3"/>
      <c r="M240" s="3"/>
      <c r="P240" s="3"/>
      <c r="Q240" s="3"/>
      <c r="R240" s="3"/>
    </row>
    <row r="241" spans="6:18" x14ac:dyDescent="0.25">
      <c r="F241" s="3"/>
      <c r="G241" s="3"/>
      <c r="H241" s="3"/>
      <c r="K241" s="3"/>
      <c r="L241" s="3"/>
      <c r="M241" s="3"/>
      <c r="P241" s="3"/>
      <c r="Q241" s="3"/>
      <c r="R241" s="3"/>
    </row>
    <row r="242" spans="6:18" x14ac:dyDescent="0.25">
      <c r="F242" s="3"/>
      <c r="G242" s="3"/>
      <c r="H242" s="3"/>
      <c r="K242" s="3"/>
      <c r="L242" s="3"/>
      <c r="M242" s="3"/>
      <c r="P242" s="3"/>
      <c r="Q242" s="3"/>
      <c r="R242" s="3"/>
    </row>
    <row r="243" spans="6:18" x14ac:dyDescent="0.25">
      <c r="F243" s="3"/>
      <c r="G243" s="3"/>
      <c r="H243" s="3"/>
      <c r="K243" s="3"/>
      <c r="L243" s="3"/>
      <c r="M243" s="3"/>
      <c r="P243" s="3"/>
      <c r="Q243" s="3"/>
      <c r="R243" s="3"/>
    </row>
    <row r="244" spans="6:18" x14ac:dyDescent="0.25">
      <c r="F244" s="3"/>
      <c r="G244" s="3"/>
      <c r="H244" s="3"/>
      <c r="K244" s="3"/>
      <c r="L244" s="3"/>
      <c r="M244" s="3"/>
      <c r="P244" s="3"/>
      <c r="Q244" s="3"/>
      <c r="R244" s="3"/>
    </row>
    <row r="245" spans="6:18" x14ac:dyDescent="0.25">
      <c r="F245" s="3"/>
      <c r="G245" s="3"/>
      <c r="H245" s="3"/>
      <c r="K245" s="3"/>
      <c r="L245" s="3"/>
      <c r="M245" s="3"/>
      <c r="P245" s="3"/>
      <c r="Q245" s="3"/>
      <c r="R245" s="3"/>
    </row>
    <row r="246" spans="6:18" x14ac:dyDescent="0.25">
      <c r="F246" s="3"/>
      <c r="G246" s="3"/>
      <c r="H246" s="3"/>
      <c r="K246" s="3"/>
      <c r="L246" s="3"/>
      <c r="M246" s="3"/>
      <c r="P246" s="3"/>
      <c r="Q246" s="3"/>
      <c r="R246" s="3"/>
    </row>
    <row r="247" spans="6:18" x14ac:dyDescent="0.25">
      <c r="F247" s="3"/>
      <c r="G247" s="3"/>
      <c r="H247" s="3"/>
      <c r="K247" s="3"/>
      <c r="L247" s="3"/>
      <c r="M247" s="3"/>
      <c r="P247" s="3"/>
      <c r="Q247" s="3"/>
      <c r="R247" s="3"/>
    </row>
    <row r="248" spans="6:18" x14ac:dyDescent="0.25">
      <c r="F248" s="3"/>
      <c r="G248" s="3"/>
      <c r="H248" s="3"/>
      <c r="K248" s="3"/>
      <c r="L248" s="3"/>
      <c r="M248" s="3"/>
      <c r="P248" s="3"/>
      <c r="Q248" s="3"/>
      <c r="R248" s="3"/>
    </row>
    <row r="249" spans="6:18" x14ac:dyDescent="0.25">
      <c r="F249" s="3"/>
      <c r="G249" s="3"/>
      <c r="H249" s="3"/>
      <c r="K249" s="3"/>
      <c r="L249" s="3"/>
      <c r="M249" s="3"/>
      <c r="P249" s="3"/>
      <c r="Q249" s="3"/>
      <c r="R249" s="3"/>
    </row>
    <row r="250" spans="6:18" x14ac:dyDescent="0.25">
      <c r="F250" s="3"/>
      <c r="G250" s="3"/>
      <c r="H250" s="3"/>
      <c r="K250" s="3"/>
      <c r="L250" s="3"/>
      <c r="M250" s="3"/>
      <c r="P250" s="3"/>
      <c r="Q250" s="3"/>
      <c r="R250" s="3"/>
    </row>
    <row r="251" spans="6:18" x14ac:dyDescent="0.25">
      <c r="F251" s="3"/>
      <c r="G251" s="3"/>
      <c r="H251" s="3"/>
      <c r="K251" s="3"/>
      <c r="L251" s="3"/>
      <c r="M251" s="3"/>
      <c r="P251" s="3"/>
      <c r="Q251" s="3"/>
      <c r="R251" s="3"/>
    </row>
    <row r="252" spans="6:18" x14ac:dyDescent="0.25">
      <c r="F252" s="3"/>
      <c r="G252" s="3"/>
      <c r="H252" s="3"/>
      <c r="K252" s="3"/>
      <c r="L252" s="3"/>
      <c r="M252" s="3"/>
      <c r="P252" s="3"/>
      <c r="Q252" s="3"/>
      <c r="R252" s="3"/>
    </row>
    <row r="253" spans="6:18" x14ac:dyDescent="0.25">
      <c r="F253" s="3"/>
      <c r="G253" s="3"/>
      <c r="H253" s="3"/>
      <c r="K253" s="3"/>
      <c r="L253" s="3"/>
      <c r="M253" s="3"/>
      <c r="P253" s="3"/>
      <c r="Q253" s="3"/>
      <c r="R253" s="3"/>
    </row>
    <row r="254" spans="6:18" x14ac:dyDescent="0.25">
      <c r="F254" s="3"/>
      <c r="G254" s="3"/>
      <c r="H254" s="3"/>
      <c r="K254" s="3"/>
      <c r="L254" s="3"/>
      <c r="M254" s="3"/>
      <c r="P254" s="3"/>
      <c r="Q254" s="3"/>
      <c r="R254" s="3"/>
    </row>
    <row r="255" spans="6:18" x14ac:dyDescent="0.25">
      <c r="F255" s="3"/>
      <c r="G255" s="3"/>
      <c r="H255" s="3"/>
      <c r="K255" s="3"/>
      <c r="L255" s="3"/>
      <c r="M255" s="3"/>
      <c r="P255" s="3"/>
      <c r="Q255" s="3"/>
      <c r="R255" s="3"/>
    </row>
    <row r="256" spans="6:18" x14ac:dyDescent="0.25">
      <c r="F256" s="3"/>
      <c r="G256" s="3"/>
      <c r="H256" s="3"/>
      <c r="K256" s="3"/>
      <c r="L256" s="3"/>
      <c r="M256" s="3"/>
      <c r="P256" s="3"/>
      <c r="Q256" s="3"/>
      <c r="R256" s="3"/>
    </row>
    <row r="257" spans="6:18" x14ac:dyDescent="0.25">
      <c r="F257" s="3"/>
      <c r="G257" s="3"/>
      <c r="H257" s="3"/>
      <c r="K257" s="3"/>
      <c r="L257" s="3"/>
      <c r="M257" s="3"/>
      <c r="P257" s="3"/>
      <c r="Q257" s="3"/>
      <c r="R257" s="3"/>
    </row>
    <row r="258" spans="6:18" x14ac:dyDescent="0.25">
      <c r="F258" s="3"/>
      <c r="G258" s="3"/>
      <c r="H258" s="3"/>
      <c r="K258" s="3"/>
      <c r="L258" s="3"/>
      <c r="M258" s="3"/>
      <c r="P258" s="3"/>
      <c r="Q258" s="3"/>
      <c r="R258" s="3"/>
    </row>
    <row r="259" spans="6:18" x14ac:dyDescent="0.25">
      <c r="F259" s="3"/>
      <c r="G259" s="3"/>
      <c r="H259" s="3"/>
      <c r="K259" s="3"/>
      <c r="L259" s="3"/>
      <c r="M259" s="3"/>
      <c r="P259" s="3"/>
      <c r="Q259" s="3"/>
      <c r="R259" s="3"/>
    </row>
    <row r="260" spans="6:18" x14ac:dyDescent="0.25">
      <c r="F260" s="3"/>
      <c r="G260" s="3"/>
      <c r="H260" s="3"/>
      <c r="K260" s="3"/>
      <c r="L260" s="3"/>
      <c r="M260" s="3"/>
      <c r="P260" s="3"/>
      <c r="Q260" s="3"/>
      <c r="R260" s="3"/>
    </row>
    <row r="261" spans="6:18" x14ac:dyDescent="0.25">
      <c r="F261" s="3"/>
      <c r="G261" s="3"/>
      <c r="H261" s="3"/>
      <c r="K261" s="3"/>
      <c r="L261" s="3"/>
      <c r="M261" s="3"/>
      <c r="P261" s="3"/>
      <c r="Q261" s="3"/>
      <c r="R261" s="3"/>
    </row>
    <row r="262" spans="6:18" x14ac:dyDescent="0.25">
      <c r="F262" s="3"/>
      <c r="G262" s="3"/>
      <c r="H262" s="3"/>
      <c r="K262" s="3"/>
      <c r="L262" s="3"/>
      <c r="M262" s="3"/>
      <c r="P262" s="3"/>
      <c r="Q262" s="3"/>
      <c r="R262" s="3"/>
    </row>
    <row r="263" spans="6:18" x14ac:dyDescent="0.25">
      <c r="F263" s="3"/>
      <c r="G263" s="3"/>
      <c r="H263" s="3"/>
      <c r="K263" s="3"/>
      <c r="L263" s="3"/>
      <c r="M263" s="3"/>
      <c r="P263" s="3"/>
      <c r="Q263" s="3"/>
      <c r="R263" s="3"/>
    </row>
    <row r="264" spans="6:18" x14ac:dyDescent="0.25">
      <c r="F264" s="3"/>
      <c r="G264" s="3"/>
      <c r="H264" s="3"/>
      <c r="K264" s="3"/>
      <c r="L264" s="3"/>
      <c r="M264" s="3"/>
      <c r="P264" s="3"/>
      <c r="Q264" s="3"/>
      <c r="R264" s="3"/>
    </row>
    <row r="265" spans="6:18" x14ac:dyDescent="0.25">
      <c r="F265" s="3"/>
      <c r="G265" s="3"/>
      <c r="H265" s="3"/>
      <c r="K265" s="3"/>
      <c r="L265" s="3"/>
      <c r="M265" s="3"/>
      <c r="P265" s="3"/>
      <c r="Q265" s="3"/>
      <c r="R265" s="3"/>
    </row>
    <row r="266" spans="6:18" x14ac:dyDescent="0.25">
      <c r="F266" s="3"/>
      <c r="G266" s="3"/>
      <c r="H266" s="3"/>
      <c r="K266" s="3"/>
      <c r="L266" s="3"/>
      <c r="M266" s="3"/>
      <c r="P266" s="3"/>
      <c r="Q266" s="3"/>
      <c r="R266" s="3"/>
    </row>
    <row r="267" spans="6:18" x14ac:dyDescent="0.25">
      <c r="F267" s="3"/>
      <c r="G267" s="3"/>
      <c r="H267" s="3"/>
      <c r="K267" s="3"/>
      <c r="L267" s="3"/>
      <c r="M267" s="3"/>
      <c r="P267" s="3"/>
      <c r="Q267" s="3"/>
      <c r="R267" s="3"/>
    </row>
    <row r="268" spans="6:18" x14ac:dyDescent="0.25">
      <c r="F268" s="3"/>
      <c r="G268" s="3"/>
      <c r="H268" s="3"/>
      <c r="K268" s="3"/>
      <c r="L268" s="3"/>
      <c r="M268" s="3"/>
      <c r="P268" s="3"/>
      <c r="Q268" s="3"/>
      <c r="R268" s="3"/>
    </row>
    <row r="269" spans="6:18" x14ac:dyDescent="0.25">
      <c r="F269" s="3"/>
      <c r="G269" s="3"/>
      <c r="H269" s="3"/>
      <c r="K269" s="3"/>
      <c r="L269" s="3"/>
      <c r="M269" s="3"/>
      <c r="P269" s="3"/>
      <c r="Q269" s="3"/>
      <c r="R269" s="3"/>
    </row>
    <row r="270" spans="6:18" x14ac:dyDescent="0.25">
      <c r="F270" s="3"/>
      <c r="G270" s="3"/>
      <c r="H270" s="3"/>
      <c r="K270" s="3"/>
      <c r="L270" s="3"/>
      <c r="M270" s="3"/>
      <c r="P270" s="3"/>
      <c r="Q270" s="3"/>
      <c r="R270" s="3"/>
    </row>
    <row r="271" spans="6:18" x14ac:dyDescent="0.25">
      <c r="F271" s="3"/>
      <c r="G271" s="3"/>
      <c r="H271" s="3"/>
      <c r="K271" s="3"/>
      <c r="L271" s="3"/>
      <c r="M271" s="3"/>
      <c r="P271" s="3"/>
      <c r="Q271" s="3"/>
      <c r="R271" s="3"/>
    </row>
    <row r="272" spans="6:18" x14ac:dyDescent="0.25">
      <c r="F272" s="3"/>
      <c r="G272" s="3"/>
      <c r="H272" s="3"/>
      <c r="K272" s="3"/>
      <c r="L272" s="3"/>
      <c r="M272" s="3"/>
      <c r="P272" s="3"/>
      <c r="Q272" s="3"/>
      <c r="R272" s="3"/>
    </row>
    <row r="273" spans="6:18" x14ac:dyDescent="0.25">
      <c r="F273" s="3"/>
      <c r="G273" s="3"/>
      <c r="H273" s="3"/>
      <c r="K273" s="3"/>
      <c r="L273" s="3"/>
      <c r="M273" s="3"/>
      <c r="P273" s="3"/>
      <c r="Q273" s="3"/>
      <c r="R273" s="3"/>
    </row>
    <row r="274" spans="6:18" x14ac:dyDescent="0.25">
      <c r="F274" s="3"/>
      <c r="G274" s="3"/>
      <c r="H274" s="3"/>
      <c r="K274" s="3"/>
      <c r="L274" s="3"/>
      <c r="M274" s="3"/>
      <c r="P274" s="3"/>
      <c r="Q274" s="3"/>
      <c r="R274" s="3"/>
    </row>
    <row r="275" spans="6:18" x14ac:dyDescent="0.25">
      <c r="F275" s="3"/>
      <c r="G275" s="3"/>
      <c r="H275" s="3"/>
      <c r="K275" s="3"/>
      <c r="L275" s="3"/>
      <c r="M275" s="3"/>
      <c r="P275" s="3"/>
      <c r="Q275" s="3"/>
      <c r="R275" s="3"/>
    </row>
    <row r="276" spans="6:18" x14ac:dyDescent="0.25">
      <c r="F276" s="3"/>
      <c r="G276" s="3"/>
      <c r="H276" s="3"/>
      <c r="K276" s="3"/>
      <c r="L276" s="3"/>
      <c r="M276" s="3"/>
      <c r="P276" s="3"/>
      <c r="Q276" s="3"/>
      <c r="R276" s="3"/>
    </row>
    <row r="277" spans="6:18" x14ac:dyDescent="0.25">
      <c r="F277" s="3"/>
      <c r="G277" s="3"/>
      <c r="H277" s="3"/>
      <c r="K277" s="3"/>
      <c r="L277" s="3"/>
      <c r="M277" s="3"/>
      <c r="P277" s="3"/>
      <c r="Q277" s="3"/>
      <c r="R277" s="3"/>
    </row>
    <row r="278" spans="6:18" x14ac:dyDescent="0.25">
      <c r="F278" s="3"/>
      <c r="G278" s="3"/>
      <c r="H278" s="3"/>
      <c r="K278" s="3"/>
      <c r="L278" s="3"/>
      <c r="M278" s="3"/>
      <c r="P278" s="3"/>
      <c r="Q278" s="3"/>
      <c r="R278" s="3"/>
    </row>
    <row r="279" spans="6:18" x14ac:dyDescent="0.25">
      <c r="F279" s="3"/>
      <c r="G279" s="3"/>
      <c r="H279" s="3"/>
      <c r="K279" s="3"/>
      <c r="L279" s="3"/>
      <c r="M279" s="3"/>
      <c r="P279" s="3"/>
      <c r="Q279" s="3"/>
      <c r="R279" s="3"/>
    </row>
    <row r="280" spans="6:18" x14ac:dyDescent="0.25">
      <c r="F280" s="3"/>
      <c r="G280" s="3"/>
      <c r="H280" s="3"/>
      <c r="K280" s="3"/>
      <c r="L280" s="3"/>
      <c r="M280" s="3"/>
      <c r="P280" s="3"/>
      <c r="Q280" s="3"/>
      <c r="R280" s="3"/>
    </row>
    <row r="281" spans="6:18" x14ac:dyDescent="0.25">
      <c r="F281" s="3"/>
      <c r="G281" s="3"/>
      <c r="H281" s="3"/>
      <c r="K281" s="3"/>
      <c r="L281" s="3"/>
      <c r="M281" s="3"/>
      <c r="P281" s="3"/>
      <c r="Q281" s="3"/>
      <c r="R281" s="3"/>
    </row>
    <row r="282" spans="6:18" x14ac:dyDescent="0.25">
      <c r="F282" s="3"/>
      <c r="G282" s="3"/>
      <c r="H282" s="3"/>
      <c r="K282" s="3"/>
      <c r="L282" s="3"/>
      <c r="M282" s="3"/>
      <c r="P282" s="3"/>
      <c r="Q282" s="3"/>
      <c r="R282" s="3"/>
    </row>
    <row r="283" spans="6:18" x14ac:dyDescent="0.25">
      <c r="F283" s="3"/>
      <c r="G283" s="3"/>
      <c r="H283" s="3"/>
      <c r="K283" s="3"/>
      <c r="L283" s="3"/>
      <c r="M283" s="3"/>
      <c r="P283" s="3"/>
      <c r="Q283" s="3"/>
      <c r="R283" s="3"/>
    </row>
    <row r="284" spans="6:18" x14ac:dyDescent="0.25">
      <c r="F284" s="3"/>
      <c r="G284" s="3"/>
      <c r="H284" s="3"/>
      <c r="K284" s="3"/>
      <c r="L284" s="3"/>
      <c r="M284" s="3"/>
      <c r="P284" s="3"/>
      <c r="Q284" s="3"/>
      <c r="R284" s="3"/>
    </row>
    <row r="285" spans="6:18" x14ac:dyDescent="0.25">
      <c r="F285" s="3"/>
      <c r="G285" s="3"/>
      <c r="H285" s="3"/>
      <c r="K285" s="3"/>
      <c r="L285" s="3"/>
      <c r="M285" s="3"/>
      <c r="P285" s="3"/>
      <c r="Q285" s="3"/>
      <c r="R285" s="3"/>
    </row>
    <row r="286" spans="6:18" x14ac:dyDescent="0.25">
      <c r="F286" s="3"/>
      <c r="G286" s="3"/>
      <c r="H286" s="3"/>
      <c r="K286" s="3"/>
      <c r="L286" s="3"/>
      <c r="M286" s="3"/>
      <c r="P286" s="3"/>
      <c r="Q286" s="3"/>
      <c r="R286" s="3"/>
    </row>
    <row r="287" spans="6:18" x14ac:dyDescent="0.25">
      <c r="F287" s="3"/>
      <c r="G287" s="3"/>
      <c r="H287" s="3"/>
      <c r="K287" s="3"/>
      <c r="L287" s="3"/>
      <c r="M287" s="3"/>
      <c r="P287" s="3"/>
      <c r="Q287" s="3"/>
      <c r="R287" s="3"/>
    </row>
    <row r="288" spans="6:18" x14ac:dyDescent="0.25">
      <c r="F288" s="3"/>
      <c r="G288" s="3"/>
      <c r="H288" s="3"/>
      <c r="K288" s="3"/>
      <c r="L288" s="3"/>
      <c r="M288" s="3"/>
      <c r="P288" s="3"/>
      <c r="Q288" s="3"/>
      <c r="R288" s="3"/>
    </row>
    <row r="289" spans="6:18" x14ac:dyDescent="0.25">
      <c r="F289" s="3"/>
      <c r="G289" s="3"/>
      <c r="H289" s="3"/>
      <c r="K289" s="3"/>
      <c r="L289" s="3"/>
      <c r="M289" s="3"/>
      <c r="P289" s="3"/>
      <c r="Q289" s="3"/>
      <c r="R289" s="3"/>
    </row>
    <row r="290" spans="6:18" x14ac:dyDescent="0.25">
      <c r="F290" s="3"/>
      <c r="G290" s="3"/>
      <c r="H290" s="3"/>
      <c r="K290" s="3"/>
      <c r="L290" s="3"/>
      <c r="M290" s="3"/>
      <c r="P290" s="3"/>
      <c r="Q290" s="3"/>
      <c r="R290" s="3"/>
    </row>
    <row r="291" spans="6:18" x14ac:dyDescent="0.25">
      <c r="F291" s="3"/>
      <c r="G291" s="3"/>
      <c r="H291" s="3"/>
      <c r="K291" s="3"/>
      <c r="L291" s="3"/>
      <c r="M291" s="3"/>
      <c r="P291" s="3"/>
      <c r="Q291" s="3"/>
      <c r="R291" s="3"/>
    </row>
    <row r="292" spans="6:18" x14ac:dyDescent="0.25">
      <c r="F292" s="3"/>
      <c r="G292" s="3"/>
      <c r="H292" s="3"/>
      <c r="K292" s="3"/>
      <c r="L292" s="3"/>
      <c r="M292" s="3"/>
      <c r="P292" s="3"/>
      <c r="Q292" s="3"/>
      <c r="R292" s="3"/>
    </row>
    <row r="293" spans="6:18" x14ac:dyDescent="0.25">
      <c r="F293" s="3"/>
      <c r="G293" s="3"/>
      <c r="H293" s="3"/>
      <c r="K293" s="3"/>
      <c r="L293" s="3"/>
      <c r="M293" s="3"/>
      <c r="P293" s="3"/>
      <c r="Q293" s="3"/>
      <c r="R293" s="3"/>
    </row>
    <row r="294" spans="6:18" x14ac:dyDescent="0.25">
      <c r="F294" s="3"/>
      <c r="G294" s="3"/>
      <c r="H294" s="3"/>
      <c r="K294" s="3"/>
      <c r="L294" s="3"/>
      <c r="M294" s="3"/>
      <c r="P294" s="3"/>
      <c r="Q294" s="3"/>
      <c r="R294" s="3"/>
    </row>
    <row r="295" spans="6:18" x14ac:dyDescent="0.25">
      <c r="F295" s="3"/>
      <c r="G295" s="3"/>
      <c r="H295" s="3"/>
      <c r="K295" s="3"/>
      <c r="L295" s="3"/>
      <c r="M295" s="3"/>
      <c r="P295" s="3"/>
      <c r="Q295" s="3"/>
      <c r="R295" s="3"/>
    </row>
    <row r="296" spans="6:18" x14ac:dyDescent="0.25">
      <c r="F296" s="3"/>
      <c r="G296" s="3"/>
      <c r="H296" s="3"/>
      <c r="K296" s="3"/>
      <c r="L296" s="3"/>
      <c r="M296" s="3"/>
      <c r="P296" s="3"/>
      <c r="Q296" s="3"/>
      <c r="R296" s="3"/>
    </row>
    <row r="297" spans="6:18" x14ac:dyDescent="0.25">
      <c r="F297" s="3"/>
      <c r="G297" s="3"/>
      <c r="H297" s="3"/>
      <c r="K297" s="3"/>
      <c r="L297" s="3"/>
      <c r="M297" s="3"/>
      <c r="P297" s="3"/>
      <c r="Q297" s="3"/>
      <c r="R297" s="3"/>
    </row>
    <row r="298" spans="6:18" x14ac:dyDescent="0.25">
      <c r="F298" s="3"/>
      <c r="G298" s="3"/>
      <c r="H298" s="3"/>
      <c r="K298" s="3"/>
      <c r="L298" s="3"/>
      <c r="M298" s="3"/>
      <c r="P298" s="3"/>
      <c r="Q298" s="3"/>
      <c r="R298" s="3"/>
    </row>
    <row r="299" spans="6:18" x14ac:dyDescent="0.25">
      <c r="F299" s="3"/>
      <c r="G299" s="3"/>
      <c r="H299" s="3"/>
      <c r="K299" s="3"/>
      <c r="L299" s="3"/>
      <c r="M299" s="3"/>
      <c r="P299" s="3"/>
      <c r="Q299" s="3"/>
      <c r="R299" s="3"/>
    </row>
    <row r="300" spans="6:18" x14ac:dyDescent="0.25">
      <c r="F300" s="3"/>
      <c r="G300" s="3"/>
      <c r="H300" s="3"/>
      <c r="K300" s="3"/>
      <c r="L300" s="3"/>
      <c r="M300" s="3"/>
      <c r="P300" s="3"/>
      <c r="Q300" s="3"/>
      <c r="R300" s="3"/>
    </row>
    <row r="301" spans="6:18" x14ac:dyDescent="0.25">
      <c r="F301" s="3"/>
      <c r="G301" s="3"/>
      <c r="H301" s="3"/>
      <c r="K301" s="3"/>
      <c r="L301" s="3"/>
      <c r="M301" s="3"/>
      <c r="P301" s="3"/>
      <c r="Q301" s="3"/>
      <c r="R301" s="3"/>
    </row>
    <row r="302" spans="6:18" x14ac:dyDescent="0.25">
      <c r="F302" s="3"/>
      <c r="G302" s="3"/>
      <c r="H302" s="3"/>
      <c r="K302" s="3"/>
      <c r="L302" s="3"/>
      <c r="M302" s="3"/>
      <c r="P302" s="3"/>
      <c r="Q302" s="3"/>
      <c r="R302" s="3"/>
    </row>
    <row r="303" spans="6:18" x14ac:dyDescent="0.25">
      <c r="F303" s="3"/>
      <c r="G303" s="3"/>
      <c r="H303" s="3"/>
      <c r="K303" s="3"/>
      <c r="L303" s="3"/>
      <c r="M303" s="3"/>
      <c r="P303" s="3"/>
      <c r="Q303" s="3"/>
      <c r="R303" s="3"/>
    </row>
    <row r="304" spans="6:18" x14ac:dyDescent="0.25">
      <c r="F304" s="3"/>
      <c r="G304" s="3"/>
      <c r="H304" s="3"/>
      <c r="K304" s="3"/>
      <c r="L304" s="3"/>
      <c r="M304" s="3"/>
      <c r="P304" s="3"/>
      <c r="Q304" s="3"/>
      <c r="R304" s="3"/>
    </row>
    <row r="305" spans="6:8" x14ac:dyDescent="0.25">
      <c r="F305" s="3"/>
      <c r="G305" s="3"/>
      <c r="H305" s="3"/>
    </row>
    <row r="306" spans="6:8" x14ac:dyDescent="0.25">
      <c r="F306" s="3"/>
      <c r="G306" s="3"/>
      <c r="H306" s="3"/>
    </row>
    <row r="307" spans="6:8" x14ac:dyDescent="0.25">
      <c r="F307" s="3"/>
      <c r="G307" s="3"/>
      <c r="H307" s="3"/>
    </row>
    <row r="308" spans="6:8" x14ac:dyDescent="0.25">
      <c r="F308" s="3"/>
      <c r="G308" s="3"/>
      <c r="H308" s="3"/>
    </row>
    <row r="309" spans="6:8" x14ac:dyDescent="0.25">
      <c r="F309" s="3"/>
      <c r="G309" s="3"/>
      <c r="H309" s="3"/>
    </row>
    <row r="310" spans="6:8" x14ac:dyDescent="0.25">
      <c r="F310" s="3"/>
      <c r="G310" s="3"/>
      <c r="H310" s="3"/>
    </row>
    <row r="311" spans="6:8" x14ac:dyDescent="0.25">
      <c r="F311" s="3"/>
      <c r="G311" s="3"/>
      <c r="H311" s="3"/>
    </row>
    <row r="312" spans="6:8" x14ac:dyDescent="0.25">
      <c r="F312" s="3"/>
      <c r="G312" s="3"/>
      <c r="H312" s="3"/>
    </row>
    <row r="313" spans="6:8" x14ac:dyDescent="0.25">
      <c r="F313" s="3"/>
      <c r="G313" s="3"/>
      <c r="H313" s="3"/>
    </row>
    <row r="314" spans="6:8" x14ac:dyDescent="0.25">
      <c r="F314" s="3"/>
      <c r="G314" s="3"/>
      <c r="H314" s="3"/>
    </row>
    <row r="315" spans="6:8" x14ac:dyDescent="0.25">
      <c r="F315" s="3"/>
      <c r="G315" s="3"/>
      <c r="H315" s="3"/>
    </row>
    <row r="316" spans="6:8" x14ac:dyDescent="0.25">
      <c r="F316" s="3"/>
      <c r="G316" s="3"/>
      <c r="H316" s="3"/>
    </row>
    <row r="317" spans="6:8" x14ac:dyDescent="0.25">
      <c r="F317" s="3"/>
      <c r="G317" s="3"/>
      <c r="H317" s="3"/>
    </row>
    <row r="318" spans="6:8" x14ac:dyDescent="0.25">
      <c r="F318" s="3"/>
      <c r="G318" s="3"/>
      <c r="H318" s="3"/>
    </row>
    <row r="319" spans="6:8" x14ac:dyDescent="0.25">
      <c r="F319" s="3"/>
      <c r="G319" s="3"/>
      <c r="H319" s="3"/>
    </row>
    <row r="320" spans="6:8" x14ac:dyDescent="0.25">
      <c r="F320" s="3"/>
      <c r="G320" s="3"/>
      <c r="H320" s="3"/>
    </row>
    <row r="321" spans="6:8" x14ac:dyDescent="0.25">
      <c r="F321" s="3"/>
      <c r="G321" s="3"/>
      <c r="H321" s="3"/>
    </row>
    <row r="322" spans="6:8" x14ac:dyDescent="0.25">
      <c r="F322" s="3"/>
      <c r="G322" s="3"/>
      <c r="H322" s="3"/>
    </row>
    <row r="323" spans="6:8" x14ac:dyDescent="0.25">
      <c r="F323" s="3"/>
      <c r="G323" s="3"/>
      <c r="H323" s="3"/>
    </row>
    <row r="324" spans="6:8" x14ac:dyDescent="0.25">
      <c r="F324" s="3"/>
      <c r="G324" s="3"/>
      <c r="H324" s="3"/>
    </row>
    <row r="325" spans="6:8" x14ac:dyDescent="0.25">
      <c r="F325" s="3"/>
      <c r="G325" s="3"/>
      <c r="H325" s="3"/>
    </row>
    <row r="326" spans="6:8" x14ac:dyDescent="0.25">
      <c r="F326" s="3"/>
      <c r="G326" s="3"/>
      <c r="H326" s="3"/>
    </row>
    <row r="327" spans="6:8" x14ac:dyDescent="0.25">
      <c r="F327" s="3"/>
      <c r="G327" s="3"/>
      <c r="H327" s="3"/>
    </row>
    <row r="328" spans="6:8" x14ac:dyDescent="0.25">
      <c r="F328" s="3"/>
      <c r="G328" s="3"/>
      <c r="H328" s="3"/>
    </row>
    <row r="329" spans="6:8" x14ac:dyDescent="0.25">
      <c r="F329" s="3"/>
      <c r="G329" s="3"/>
      <c r="H329" s="3"/>
    </row>
    <row r="330" spans="6:8" x14ac:dyDescent="0.25">
      <c r="F330" s="3"/>
      <c r="G330" s="3"/>
      <c r="H330" s="3"/>
    </row>
    <row r="331" spans="6:8" x14ac:dyDescent="0.25">
      <c r="F331" s="3"/>
      <c r="G331" s="3"/>
      <c r="H331" s="3"/>
    </row>
    <row r="332" spans="6:8" x14ac:dyDescent="0.25">
      <c r="F332" s="3"/>
      <c r="G332" s="3"/>
      <c r="H332" s="3"/>
    </row>
    <row r="333" spans="6:8" x14ac:dyDescent="0.25">
      <c r="F333" s="3"/>
      <c r="G333" s="3"/>
      <c r="H333" s="3"/>
    </row>
    <row r="334" spans="6:8" x14ac:dyDescent="0.25">
      <c r="F334" s="3"/>
      <c r="G334" s="3"/>
      <c r="H334" s="3"/>
    </row>
    <row r="335" spans="6:8" x14ac:dyDescent="0.25">
      <c r="F335" s="3"/>
      <c r="G335" s="3"/>
      <c r="H335" s="3"/>
    </row>
    <row r="336" spans="6:8" x14ac:dyDescent="0.25">
      <c r="F336" s="3"/>
      <c r="G336" s="3"/>
      <c r="H336" s="3"/>
    </row>
    <row r="337" spans="6:8" x14ac:dyDescent="0.25">
      <c r="F337" s="3"/>
      <c r="G337" s="3"/>
      <c r="H337" s="3"/>
    </row>
    <row r="338" spans="6:8" x14ac:dyDescent="0.25">
      <c r="F338" s="3"/>
      <c r="G338" s="3"/>
      <c r="H338" s="3"/>
    </row>
    <row r="339" spans="6:8" x14ac:dyDescent="0.25">
      <c r="F339" s="3"/>
      <c r="G339" s="3"/>
      <c r="H339" s="3"/>
    </row>
    <row r="340" spans="6:8" x14ac:dyDescent="0.25">
      <c r="F340" s="3"/>
      <c r="G340" s="3"/>
      <c r="H340" s="3"/>
    </row>
    <row r="341" spans="6:8" x14ac:dyDescent="0.25">
      <c r="F341" s="3"/>
      <c r="G341" s="3"/>
      <c r="H341" s="3"/>
    </row>
    <row r="342" spans="6:8" x14ac:dyDescent="0.25">
      <c r="F342" s="3"/>
      <c r="G342" s="3"/>
      <c r="H342" s="3"/>
    </row>
    <row r="343" spans="6:8" x14ac:dyDescent="0.25">
      <c r="F343" s="3"/>
      <c r="G343" s="3"/>
      <c r="H343" s="3"/>
    </row>
    <row r="344" spans="6:8" x14ac:dyDescent="0.25">
      <c r="F344" s="3"/>
      <c r="G344" s="3"/>
      <c r="H344" s="3"/>
    </row>
  </sheetData>
  <mergeCells count="4">
    <mergeCell ref="B2:M2"/>
    <mergeCell ref="E3:H3"/>
    <mergeCell ref="J3:M3"/>
    <mergeCell ref="O3:R3"/>
  </mergeCells>
  <conditionalFormatting sqref="F5:H124">
    <cfRule type="cellIs" dxfId="5" priority="5" operator="lessThan">
      <formula>100</formula>
    </cfRule>
    <cfRule type="cellIs" dxfId="4" priority="6" operator="greaterThanOrEqual">
      <formula>100</formula>
    </cfRule>
  </conditionalFormatting>
  <conditionalFormatting sqref="K5:M124">
    <cfRule type="cellIs" dxfId="3" priority="3" operator="lessThan">
      <formula>100</formula>
    </cfRule>
    <cfRule type="cellIs" dxfId="2" priority="4" operator="greaterThanOrEqual">
      <formula>100</formula>
    </cfRule>
  </conditionalFormatting>
  <conditionalFormatting sqref="P5:R124">
    <cfRule type="cellIs" dxfId="1" priority="1" operator="greaterThanOrEqual">
      <formula>100</formula>
    </cfRule>
    <cfRule type="cellIs" dxfId="0" priority="2" operator="lessThan">
      <formula>100</formula>
    </cfRule>
  </conditionalFormatting>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Lakeas Capture Modifiers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Weightman</dc:creator>
  <cp:lastModifiedBy>John Weightman</cp:lastModifiedBy>
  <dcterms:created xsi:type="dcterms:W3CDTF">2015-06-05T18:17:20Z</dcterms:created>
  <dcterms:modified xsi:type="dcterms:W3CDTF">2025-04-13T08:05:09Z</dcterms:modified>
</cp:coreProperties>
</file>